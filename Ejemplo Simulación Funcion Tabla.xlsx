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cho\Proyectos\Cursos\Excel para Analistas de Datos\Video 11 - Simulacion con Funcion Tabla\"/>
    </mc:Choice>
  </mc:AlternateContent>
  <xr:revisionPtr revIDLastSave="0" documentId="13_ncr:1_{58FFD1AA-46CF-4B6A-B513-3506A27C2BE6}" xr6:coauthVersionLast="47" xr6:coauthVersionMax="47" xr10:uidLastSave="{00000000-0000-0000-0000-000000000000}"/>
  <bookViews>
    <workbookView xWindow="-120" yWindow="-120" windowWidth="29040" windowHeight="15720" activeTab="1" xr2:uid="{CDD92A3E-E9DF-4B17-BCDB-4A360B679FEC}"/>
  </bookViews>
  <sheets>
    <sheet name="Ejemplo 1" sheetId="1" r:id="rId1"/>
    <sheet name="Estimacion Flujo de Caja" sheetId="2" r:id="rId2"/>
  </sheets>
  <definedNames>
    <definedName name="_xlchart.v1.0" hidden="1">'Estimacion Flujo de Caja'!$E$24:$E$1023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2" l="1"/>
  <c r="G24" i="2"/>
  <c r="D24" i="2" a="1"/>
  <c r="D24" i="2" s="1"/>
  <c r="N25" i="2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P23" i="2"/>
  <c r="Q23" i="2" s="1"/>
  <c r="R23" i="2" s="1"/>
  <c r="S23" i="2" s="1"/>
  <c r="T23" i="2" s="1"/>
  <c r="U23" i="2" s="1"/>
  <c r="J26" i="2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25" i="2"/>
  <c r="C3" i="2"/>
  <c r="B12" i="2"/>
  <c r="B11" i="2"/>
  <c r="D3" i="2"/>
  <c r="E3" i="2"/>
  <c r="F3" i="2"/>
  <c r="G3" i="2"/>
  <c r="H3" i="2"/>
  <c r="J3" i="2"/>
  <c r="K3" i="2"/>
  <c r="L3" i="2"/>
  <c r="M3" i="2"/>
  <c r="N3" i="2"/>
  <c r="O3" i="2"/>
  <c r="B8" i="2"/>
  <c r="D15" i="2"/>
  <c r="E15" i="2"/>
  <c r="F15" i="2"/>
  <c r="G15" i="2"/>
  <c r="H15" i="2"/>
  <c r="J15" i="2"/>
  <c r="K15" i="2"/>
  <c r="L15" i="2"/>
  <c r="M15" i="2"/>
  <c r="N15" i="2"/>
  <c r="O15" i="2"/>
  <c r="C15" i="2"/>
  <c r="C14" i="2"/>
  <c r="D14" i="2"/>
  <c r="E14" i="2"/>
  <c r="F14" i="2"/>
  <c r="G14" i="2"/>
  <c r="H14" i="2"/>
  <c r="J14" i="2"/>
  <c r="K14" i="2"/>
  <c r="L14" i="2"/>
  <c r="M14" i="2"/>
  <c r="N14" i="2"/>
  <c r="O14" i="2"/>
  <c r="C6" i="2"/>
  <c r="D6" i="2" s="1"/>
  <c r="E6" i="2" s="1"/>
  <c r="F6" i="2" s="1"/>
  <c r="G6" i="2" s="1"/>
  <c r="H6" i="2" s="1"/>
  <c r="J6" i="2" s="1"/>
  <c r="K6" i="2" s="1"/>
  <c r="L6" i="2" s="1"/>
  <c r="M6" i="2" s="1"/>
  <c r="N6" i="2" s="1"/>
  <c r="O6" i="2" s="1"/>
  <c r="C5" i="2"/>
  <c r="D5" i="2" s="1"/>
  <c r="E5" i="2" s="1"/>
  <c r="F5" i="2" s="1"/>
  <c r="G5" i="2" s="1"/>
  <c r="H5" i="2" s="1"/>
  <c r="J5" i="2" s="1"/>
  <c r="K5" i="2" s="1"/>
  <c r="L5" i="2" s="1"/>
  <c r="M5" i="2" s="1"/>
  <c r="N5" i="2" s="1"/>
  <c r="O5" i="2" s="1"/>
  <c r="K3" i="1"/>
  <c r="L3" i="1" s="1"/>
  <c r="M3" i="1" s="1"/>
  <c r="N3" i="1" s="1"/>
  <c r="O3" i="1" s="1"/>
  <c r="P3" i="1" s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B6" i="1"/>
  <c r="F3" i="1" s="1"/>
  <c r="B5" i="1"/>
  <c r="E3" i="1" s="1"/>
  <c r="G25" i="2" l="1"/>
  <c r="G26" i="2" s="1"/>
  <c r="G27" i="2" s="1"/>
  <c r="G28" i="2" s="1"/>
  <c r="G29" i="2" s="1"/>
  <c r="G30" i="2" s="1"/>
  <c r="G31" i="2" s="1"/>
  <c r="G32" i="2" s="1"/>
  <c r="I3" i="1"/>
  <c r="O8" i="2"/>
  <c r="O11" i="2" s="1"/>
  <c r="B9" i="2"/>
  <c r="N9" i="2" s="1"/>
  <c r="N12" i="2" s="1"/>
  <c r="C8" i="2"/>
  <c r="C11" i="2" s="1"/>
  <c r="N8" i="2"/>
  <c r="N11" i="2" s="1"/>
  <c r="M8" i="2"/>
  <c r="M11" i="2" s="1"/>
  <c r="L8" i="2"/>
  <c r="L11" i="2" s="1"/>
  <c r="H8" i="2"/>
  <c r="H11" i="2" s="1"/>
  <c r="G8" i="2"/>
  <c r="G11" i="2" s="1"/>
  <c r="K8" i="2"/>
  <c r="K11" i="2" s="1"/>
  <c r="J8" i="2"/>
  <c r="J11" i="2" s="1"/>
  <c r="F8" i="2"/>
  <c r="F11" i="2" s="1"/>
  <c r="E8" i="2"/>
  <c r="E11" i="2" s="1"/>
  <c r="D8" i="2"/>
  <c r="D11" i="2" s="1"/>
  <c r="D17" i="2"/>
  <c r="K17" i="2"/>
  <c r="J17" i="2"/>
  <c r="H17" i="2"/>
  <c r="G17" i="2"/>
  <c r="F17" i="2"/>
  <c r="E17" i="2"/>
  <c r="L17" i="2"/>
  <c r="M17" i="2"/>
  <c r="O17" i="2"/>
  <c r="N17" i="2"/>
  <c r="C17" i="2"/>
  <c r="B7" i="1"/>
  <c r="H24" i="2" l="1" a="1"/>
  <c r="G3" i="1"/>
  <c r="O9" i="2"/>
  <c r="O12" i="2" s="1"/>
  <c r="L9" i="2"/>
  <c r="L12" i="2" s="1"/>
  <c r="C9" i="2"/>
  <c r="C12" i="2" s="1"/>
  <c r="H9" i="2"/>
  <c r="H12" i="2" s="1"/>
  <c r="E9" i="2"/>
  <c r="E12" i="2" s="1"/>
  <c r="K9" i="2"/>
  <c r="K12" i="2" s="1"/>
  <c r="D9" i="2"/>
  <c r="D12" i="2" s="1"/>
  <c r="M9" i="2"/>
  <c r="M12" i="2" s="1"/>
  <c r="F9" i="2"/>
  <c r="F12" i="2" s="1"/>
  <c r="G9" i="2"/>
  <c r="G12" i="2" s="1"/>
  <c r="J9" i="2"/>
  <c r="J12" i="2" s="1"/>
  <c r="N18" i="2"/>
  <c r="N19" i="2" s="1"/>
  <c r="N20" i="2" s="1"/>
  <c r="B22" i="2"/>
  <c r="H24" i="2" l="1"/>
  <c r="I24" i="2" s="1"/>
  <c r="I25" i="2"/>
  <c r="I26" i="2"/>
  <c r="I27" i="2"/>
  <c r="I30" i="2"/>
  <c r="I31" i="2"/>
  <c r="I33" i="2"/>
  <c r="I28" i="2"/>
  <c r="I32" i="2"/>
  <c r="I29" i="2"/>
  <c r="L18" i="2"/>
  <c r="L19" i="2" s="1"/>
  <c r="L20" i="2" s="1"/>
  <c r="O18" i="2"/>
  <c r="O19" i="2" s="1"/>
  <c r="O20" i="2" s="1"/>
  <c r="G18" i="2"/>
  <c r="G19" i="2" s="1"/>
  <c r="G20" i="2" s="1"/>
  <c r="J18" i="2"/>
  <c r="J19" i="2" s="1"/>
  <c r="J20" i="2" s="1"/>
  <c r="M18" i="2"/>
  <c r="M19" i="2" s="1"/>
  <c r="M20" i="2" s="1"/>
  <c r="K18" i="2"/>
  <c r="K19" i="2" s="1"/>
  <c r="K20" i="2" s="1"/>
  <c r="C18" i="2"/>
  <c r="C19" i="2" s="1"/>
  <c r="C20" i="2" s="1"/>
  <c r="E18" i="2"/>
  <c r="E19" i="2" s="1"/>
  <c r="E20" i="2" s="1"/>
  <c r="H18" i="2"/>
  <c r="H19" i="2" s="1"/>
  <c r="H20" i="2" s="1"/>
  <c r="F18" i="2"/>
  <c r="F19" i="2" s="1"/>
  <c r="F20" i="2" s="1"/>
  <c r="D18" i="2"/>
  <c r="D19" i="2" s="1"/>
  <c r="D20" i="2" s="1"/>
  <c r="B23" i="2" l="1"/>
  <c r="B24" i="2"/>
  <c r="L23" i="2" l="1"/>
  <c r="N23" i="2"/>
  <c r="B25" i="2"/>
  <c r="E23" i="2" s="1"/>
  <c r="K2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<sst xmlns="http://schemas.openxmlformats.org/spreadsheetml/2006/main" count="40" uniqueCount="27">
  <si>
    <t>Precio</t>
  </si>
  <si>
    <t>Costo</t>
  </si>
  <si>
    <t>Unidades</t>
  </si>
  <si>
    <t>Ventas</t>
  </si>
  <si>
    <t>Utilidad</t>
  </si>
  <si>
    <t>Flujo de caja</t>
  </si>
  <si>
    <t>Producto A</t>
  </si>
  <si>
    <t>Producto B</t>
  </si>
  <si>
    <t>TRM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</si>
  <si>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</si>
  <si>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</si>
  <si>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</si>
  <si>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</si>
  <si>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</si>
  <si>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</si>
  <si>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</si>
  <si>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</si>
  <si>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</si>
  <si>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</si>
  <si>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</si>
  <si>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</si>
  <si>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Costo</t>
  </si>
  <si>
    <t>Total Utilidad</t>
  </si>
  <si>
    <t>Total Ventas</t>
  </si>
  <si>
    <t>Precio Venta USD</t>
  </si>
  <si>
    <t>Precio Venta COP</t>
  </si>
  <si>
    <t>% 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</si>
</sst>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3" fillId="0" borderId="0" xfId="0" applyFont="1"/>
    <xf numFmtId="0" fontId="3" fillId="2" borderId="0" xfId="0" applyFont="1" applyFill="1"/>
    <xf numFmtId="164" fontId="0" fillId="3" borderId="0" xfId="1" applyNumberFormat="1" applyFont="1" applyFill="1"/>
    <xf numFmtId="9" fontId="0" fillId="0" borderId="0" xfId="0" applyNumberFormat="1"/>
    <xf numFmtId="9" fontId="0" fillId="0" borderId="0" xfId="2" applyFont="1"/>
    <xf numFmtId="165" fontId="0" fillId="0" borderId="0" xfId="2" applyNumberFormat="1" applyFont="1"/>
    <xf numFmtId="0" fontId="3" fillId="4" borderId="0" xfId="0" applyFont="1" applyFill="1"/>
    <xf numFmtId="0" fontId="2" fillId="5" borderId="0" xfId="0" applyFont="1" applyFill="1" applyAlignment="1">
      <alignment horizontal="left"/>
    </xf>
    <xf numFmtId="0" fontId="2" fillId="5" borderId="0" xfId="0" applyFont="1" applyFill="1"/>
    <xf numFmtId="164" fontId="0" fillId="6" borderId="0" xfId="0" applyNumberFormat="1" applyFill="1"/>
    <xf numFmtId="0" fontId="3" fillId="2" borderId="1" xfId="0" applyFont="1" applyFill="1" applyBorder="1"/>
    <xf numFmtId="44" fontId="0" fillId="0" borderId="2" xfId="1" applyFont="1" applyBorder="1"/>
    <xf numFmtId="44" fontId="0" fillId="0" borderId="3" xfId="1" applyFont="1" applyBorder="1"/>
    <xf numFmtId="0" fontId="3" fillId="2" borderId="4" xfId="0" applyFont="1" applyFill="1" applyBorder="1"/>
    <xf numFmtId="0" fontId="0" fillId="0" borderId="5" xfId="0" applyBorder="1"/>
    <xf numFmtId="0" fontId="0" fillId="3" borderId="4" xfId="0" applyFill="1" applyBorder="1" applyAlignment="1">
      <alignment horizontal="left" indent="1"/>
    </xf>
    <xf numFmtId="164" fontId="0" fillId="0" borderId="0" xfId="1" applyNumberFormat="1" applyFont="1" applyBorder="1"/>
    <xf numFmtId="164" fontId="0" fillId="0" borderId="5" xfId="1" applyNumberFormat="1" applyFont="1" applyBorder="1"/>
    <xf numFmtId="44" fontId="0" fillId="0" borderId="0" xfId="0" applyNumberFormat="1"/>
    <xf numFmtId="0" fontId="0" fillId="3" borderId="6" xfId="0" applyFill="1" applyBorder="1" applyAlignment="1">
      <alignment horizontal="left" indent="1"/>
    </xf>
    <xf numFmtId="0" fontId="0" fillId="0" borderId="7" xfId="0" applyBorder="1"/>
    <xf numFmtId="0" fontId="0" fillId="0" borderId="8" xfId="0" applyBorder="1"/>
    <xf numFmtId="0" fontId="3" fillId="2" borderId="1" xfId="0" applyFont="1" applyFill="1" applyBorder="1" applyAlignment="1">
      <alignment horizontal="left"/>
    </xf>
    <xf numFmtId="0" fontId="0" fillId="0" borderId="2" xfId="0" applyBorder="1"/>
    <xf numFmtId="164" fontId="0" fillId="6" borderId="2" xfId="1" applyNumberFormat="1" applyFont="1" applyFill="1" applyBorder="1"/>
    <xf numFmtId="164" fontId="0" fillId="6" borderId="3" xfId="1" applyNumberFormat="1" applyFont="1" applyFill="1" applyBorder="1"/>
    <xf numFmtId="164" fontId="0" fillId="6" borderId="0" xfId="1" applyNumberFormat="1" applyFont="1" applyFill="1" applyBorder="1"/>
    <xf numFmtId="164" fontId="0" fillId="6" borderId="5" xfId="1" applyNumberFormat="1" applyFont="1" applyFill="1" applyBorder="1"/>
    <xf numFmtId="0" fontId="3" fillId="2" borderId="6" xfId="0" applyFont="1" applyFill="1" applyBorder="1"/>
    <xf numFmtId="165" fontId="0" fillId="6" borderId="7" xfId="2" applyNumberFormat="1" applyFont="1" applyFill="1" applyBorder="1"/>
    <xf numFmtId="165" fontId="0" fillId="6" borderId="8" xfId="2" applyNumberFormat="1" applyFont="1" applyFill="1" applyBorder="1"/>
    <xf numFmtId="44" fontId="0" fillId="0" borderId="0" xfId="1" applyFont="1"/>
    <xf numFmtId="10" fontId="0" fillId="0" borderId="0" xfId="2" applyNumberFormat="1" applyFont="1"/>
    <xf numFmtId="44" fontId="0" fillId="7" borderId="2" xfId="1" applyFont="1" applyFill="1" applyBorder="1"/>
    <xf numFmtId="164" fontId="0" fillId="3" borderId="0" xfId="1" applyNumberFormat="1" applyFont="1" applyFill="1" applyAlignment="1"/>
    <xf numFmtId="0" fontId="0" fillId="3" borderId="0" xfId="0" applyFill="1"/>
    <xf numFmtId="10" fontId="0" fillId="6" borderId="0" xfId="2" applyNumberFormat="1" applyFont="1" applyFill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B96273E7-6794-41C1-B4B0-5441FA5EFC1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39</xdr:row>
      <xdr:rowOff>161925</xdr:rowOff>
    </xdr:from>
    <xdr:to>
      <xdr:col>10</xdr:col>
      <xdr:colOff>914399</xdr:colOff>
      <xdr:row>54</xdr:row>
      <xdr:rowOff>57149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B7771229-5536-5DFD-F0C9-A3609EC2EA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57875" y="7591425"/>
              <a:ext cx="5581649" cy="2752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5D00-32F3-414A-94AF-2F9B37F5F05E}">
  <dimension ref="A1:P21"/>
  <sheetViews>
    <sheetView zoomScale="130" zoomScaleNormal="130" workbookViewId="0">
      <selection activeCell="G3" sqref="G3"/>
    </sheetView>
  </sheetViews>
  <sheetFormatPr baseColWidth="10" defaultRowHeight="15" x14ac:dyDescent="0.25"/>
  <cols>
    <col min="1" max="1" width="15.85546875" customWidth="1"/>
    <col min="2" max="2" width="15.7109375" customWidth="1"/>
    <col min="5" max="5" width="15.5703125" bestFit="1" customWidth="1"/>
    <col min="6" max="7" width="12.7109375" bestFit="1" customWidth="1"/>
    <col min="8" max="8" width="12.7109375" customWidth="1"/>
    <col min="9" max="9" width="12.7109375" bestFit="1" customWidth="1"/>
    <col min="10" max="16" width="16.5703125" bestFit="1" customWidth="1"/>
  </cols>
  <sheetData>
    <row r="1" spans="1:16" x14ac:dyDescent="0.25">
      <c r="A1" s="4" t="s">
        <v>0</v>
      </c>
      <c r="B1" s="37">
        <v>8000</v>
      </c>
    </row>
    <row r="2" spans="1:16" x14ac:dyDescent="0.25">
      <c r="A2" s="4" t="s">
        <v>1</v>
      </c>
      <c r="B2" s="37">
        <v>2000</v>
      </c>
    </row>
    <row r="3" spans="1:16" x14ac:dyDescent="0.25">
      <c r="A3" s="4" t="s">
        <v>2</v>
      </c>
      <c r="B3" s="38">
        <v>1000</v>
      </c>
      <c r="E3" s="2">
        <f>B5</f>
        <v>8000000</v>
      </c>
      <c r="F3" s="2">
        <f>B6</f>
        <v>2000000</v>
      </c>
      <c r="G3" s="2">
        <f>B7</f>
        <v>6000000</v>
      </c>
      <c r="H3" s="2"/>
      <c r="I3" s="2">
        <f>B6</f>
        <v>2000000</v>
      </c>
      <c r="J3" s="3">
        <v>2000</v>
      </c>
      <c r="K3" s="3">
        <f>J3+500</f>
        <v>2500</v>
      </c>
      <c r="L3" s="3">
        <f t="shared" ref="L3:O3" si="0">K3+500</f>
        <v>3000</v>
      </c>
      <c r="M3" s="3">
        <f t="shared" si="0"/>
        <v>3500</v>
      </c>
      <c r="N3" s="3">
        <f t="shared" si="0"/>
        <v>4000</v>
      </c>
      <c r="O3" s="3">
        <f t="shared" si="0"/>
        <v>4500</v>
      </c>
      <c r="P3" s="3">
        <f>O3+500</f>
        <v>5000</v>
      </c>
    </row>
    <row r="4" spans="1:16" x14ac:dyDescent="0.25">
      <c r="D4" s="3">
        <v>1000</v>
      </c>
      <c r="E4" s="1">
        <f t="dataTable" ref="E4:G21" dt2D="0" dtr="0" r1="B3" ca="1"/>
        <v>8000000</v>
      </c>
      <c r="F4">
        <v>2000000</v>
      </c>
      <c r="G4">
        <v>6000000</v>
      </c>
      <c r="I4" s="3">
        <v>1000</v>
      </c>
      <c r="J4" s="34">
        <f t="dataTable" ref="J4:P21" dt2D="1" dtr="1" r1="B2" r2="B3"/>
        <v>2000000</v>
      </c>
      <c r="K4" s="34">
        <v>2500000</v>
      </c>
      <c r="L4" s="34">
        <v>3000000</v>
      </c>
      <c r="M4" s="34">
        <v>3500000</v>
      </c>
      <c r="N4" s="34">
        <v>4000000</v>
      </c>
      <c r="O4" s="34">
        <v>4500000</v>
      </c>
      <c r="P4" s="34">
        <v>5000000</v>
      </c>
    </row>
    <row r="5" spans="1:16" x14ac:dyDescent="0.25">
      <c r="A5" s="4" t="s">
        <v>3</v>
      </c>
      <c r="B5" s="5">
        <f>B3*B1</f>
        <v>8000000</v>
      </c>
      <c r="D5" s="3">
        <f>D4+500</f>
        <v>1500</v>
      </c>
      <c r="E5" s="1">
        <v>12000000</v>
      </c>
      <c r="F5">
        <v>3000000</v>
      </c>
      <c r="G5">
        <v>9000000</v>
      </c>
      <c r="I5" s="3">
        <f>I4+500</f>
        <v>1500</v>
      </c>
      <c r="J5" s="34">
        <v>3000000</v>
      </c>
      <c r="K5" s="34">
        <v>3750000</v>
      </c>
      <c r="L5" s="34">
        <v>4500000</v>
      </c>
      <c r="M5" s="34">
        <v>5250000</v>
      </c>
      <c r="N5" s="34">
        <v>6000000</v>
      </c>
      <c r="O5" s="34">
        <v>6750000</v>
      </c>
      <c r="P5" s="34">
        <v>7500000</v>
      </c>
    </row>
    <row r="6" spans="1:16" x14ac:dyDescent="0.25">
      <c r="A6" s="4" t="s">
        <v>1</v>
      </c>
      <c r="B6" s="5">
        <f>B3*B2</f>
        <v>2000000</v>
      </c>
      <c r="D6" s="3">
        <f t="shared" ref="D6:D21" si="1">D5+500</f>
        <v>2000</v>
      </c>
      <c r="E6" s="1">
        <v>16000000</v>
      </c>
      <c r="F6">
        <v>4000000</v>
      </c>
      <c r="G6">
        <v>12000000</v>
      </c>
      <c r="I6" s="3">
        <f t="shared" ref="I6:I21" si="2">I5+500</f>
        <v>2000</v>
      </c>
      <c r="J6" s="34">
        <v>4000000</v>
      </c>
      <c r="K6" s="34">
        <v>5000000</v>
      </c>
      <c r="L6" s="34">
        <v>6000000</v>
      </c>
      <c r="M6" s="34">
        <v>7000000</v>
      </c>
      <c r="N6" s="34">
        <v>8000000</v>
      </c>
      <c r="O6" s="34">
        <v>9000000</v>
      </c>
      <c r="P6" s="34">
        <v>10000000</v>
      </c>
    </row>
    <row r="7" spans="1:16" x14ac:dyDescent="0.25">
      <c r="A7" s="4" t="s">
        <v>4</v>
      </c>
      <c r="B7" s="5">
        <f>B5-B6</f>
        <v>6000000</v>
      </c>
      <c r="D7" s="3">
        <f t="shared" si="1"/>
        <v>2500</v>
      </c>
      <c r="E7" s="1">
        <v>20000000</v>
      </c>
      <c r="F7">
        <v>5000000</v>
      </c>
      <c r="G7">
        <v>15000000</v>
      </c>
      <c r="I7" s="3">
        <f t="shared" si="2"/>
        <v>2500</v>
      </c>
      <c r="J7" s="34">
        <v>5000000</v>
      </c>
      <c r="K7" s="34">
        <v>6250000</v>
      </c>
      <c r="L7" s="34">
        <v>7500000</v>
      </c>
      <c r="M7" s="34">
        <v>8750000</v>
      </c>
      <c r="N7" s="34">
        <v>10000000</v>
      </c>
      <c r="O7" s="34">
        <v>11250000</v>
      </c>
      <c r="P7" s="34">
        <v>12500000</v>
      </c>
    </row>
    <row r="8" spans="1:16" x14ac:dyDescent="0.25">
      <c r="D8" s="3">
        <f t="shared" si="1"/>
        <v>3000</v>
      </c>
      <c r="E8" s="1">
        <v>24000000</v>
      </c>
      <c r="F8">
        <v>6000000</v>
      </c>
      <c r="G8">
        <v>18000000</v>
      </c>
      <c r="I8" s="3">
        <f t="shared" si="2"/>
        <v>3000</v>
      </c>
      <c r="J8" s="34">
        <v>6000000</v>
      </c>
      <c r="K8" s="34">
        <v>7500000</v>
      </c>
      <c r="L8" s="34">
        <v>9000000</v>
      </c>
      <c r="M8" s="34">
        <v>10500000</v>
      </c>
      <c r="N8" s="34">
        <v>12000000</v>
      </c>
      <c r="O8" s="34">
        <v>13500000</v>
      </c>
      <c r="P8" s="34">
        <v>15000000</v>
      </c>
    </row>
    <row r="9" spans="1:16" x14ac:dyDescent="0.25">
      <c r="D9" s="3">
        <f t="shared" si="1"/>
        <v>3500</v>
      </c>
      <c r="E9" s="1">
        <v>28000000</v>
      </c>
      <c r="F9">
        <v>7000000</v>
      </c>
      <c r="G9">
        <v>21000000</v>
      </c>
      <c r="I9" s="3">
        <f t="shared" si="2"/>
        <v>3500</v>
      </c>
      <c r="J9" s="34">
        <v>7000000</v>
      </c>
      <c r="K9" s="34">
        <v>8750000</v>
      </c>
      <c r="L9" s="34">
        <v>10500000</v>
      </c>
      <c r="M9" s="34">
        <v>12250000</v>
      </c>
      <c r="N9" s="34">
        <v>14000000</v>
      </c>
      <c r="O9" s="34">
        <v>15750000</v>
      </c>
      <c r="P9" s="34">
        <v>17500000</v>
      </c>
    </row>
    <row r="10" spans="1:16" x14ac:dyDescent="0.25">
      <c r="D10" s="3">
        <f t="shared" si="1"/>
        <v>4000</v>
      </c>
      <c r="E10" s="1">
        <v>32000000</v>
      </c>
      <c r="F10">
        <v>8000000</v>
      </c>
      <c r="G10">
        <v>24000000</v>
      </c>
      <c r="I10" s="3">
        <f t="shared" si="2"/>
        <v>4000</v>
      </c>
      <c r="J10" s="34">
        <v>8000000</v>
      </c>
      <c r="K10" s="34">
        <v>10000000</v>
      </c>
      <c r="L10" s="34">
        <v>12000000</v>
      </c>
      <c r="M10" s="34">
        <v>14000000</v>
      </c>
      <c r="N10" s="34">
        <v>16000000</v>
      </c>
      <c r="O10" s="34">
        <v>18000000</v>
      </c>
      <c r="P10" s="34">
        <v>20000000</v>
      </c>
    </row>
    <row r="11" spans="1:16" x14ac:dyDescent="0.25">
      <c r="D11" s="3">
        <f t="shared" si="1"/>
        <v>4500</v>
      </c>
      <c r="E11" s="1">
        <v>36000000</v>
      </c>
      <c r="F11">
        <v>9000000</v>
      </c>
      <c r="G11">
        <v>27000000</v>
      </c>
      <c r="I11" s="3">
        <f t="shared" si="2"/>
        <v>4500</v>
      </c>
      <c r="J11" s="34">
        <v>9000000</v>
      </c>
      <c r="K11" s="34">
        <v>11250000</v>
      </c>
      <c r="L11" s="34">
        <v>13500000</v>
      </c>
      <c r="M11" s="34">
        <v>15750000</v>
      </c>
      <c r="N11" s="34">
        <v>18000000</v>
      </c>
      <c r="O11" s="34">
        <v>20250000</v>
      </c>
      <c r="P11" s="34">
        <v>22500000</v>
      </c>
    </row>
    <row r="12" spans="1:16" x14ac:dyDescent="0.25">
      <c r="D12" s="3">
        <f t="shared" si="1"/>
        <v>5000</v>
      </c>
      <c r="E12" s="1">
        <v>40000000</v>
      </c>
      <c r="F12">
        <v>10000000</v>
      </c>
      <c r="G12">
        <v>30000000</v>
      </c>
      <c r="I12" s="3">
        <f t="shared" si="2"/>
        <v>5000</v>
      </c>
      <c r="J12" s="34">
        <v>10000000</v>
      </c>
      <c r="K12" s="34">
        <v>12500000</v>
      </c>
      <c r="L12" s="34">
        <v>15000000</v>
      </c>
      <c r="M12" s="34">
        <v>17500000</v>
      </c>
      <c r="N12" s="34">
        <v>20000000</v>
      </c>
      <c r="O12" s="34">
        <v>22500000</v>
      </c>
      <c r="P12" s="34">
        <v>25000000</v>
      </c>
    </row>
    <row r="13" spans="1:16" x14ac:dyDescent="0.25">
      <c r="D13" s="3">
        <f t="shared" si="1"/>
        <v>5500</v>
      </c>
      <c r="E13" s="1">
        <v>44000000</v>
      </c>
      <c r="F13">
        <v>11000000</v>
      </c>
      <c r="G13">
        <v>33000000</v>
      </c>
      <c r="I13" s="3">
        <f t="shared" si="2"/>
        <v>5500</v>
      </c>
      <c r="J13" s="34">
        <v>11000000</v>
      </c>
      <c r="K13" s="34">
        <v>13750000</v>
      </c>
      <c r="L13" s="34">
        <v>16500000</v>
      </c>
      <c r="M13" s="34">
        <v>19250000</v>
      </c>
      <c r="N13" s="34">
        <v>22000000</v>
      </c>
      <c r="O13" s="34">
        <v>24750000</v>
      </c>
      <c r="P13" s="34">
        <v>27500000</v>
      </c>
    </row>
    <row r="14" spans="1:16" x14ac:dyDescent="0.25">
      <c r="D14" s="3">
        <f t="shared" si="1"/>
        <v>6000</v>
      </c>
      <c r="E14" s="1">
        <v>48000000</v>
      </c>
      <c r="F14">
        <v>12000000</v>
      </c>
      <c r="G14">
        <v>36000000</v>
      </c>
      <c r="I14" s="3">
        <f t="shared" si="2"/>
        <v>6000</v>
      </c>
      <c r="J14" s="34">
        <v>12000000</v>
      </c>
      <c r="K14" s="34">
        <v>15000000</v>
      </c>
      <c r="L14" s="34">
        <v>18000000</v>
      </c>
      <c r="M14" s="34">
        <v>21000000</v>
      </c>
      <c r="N14" s="34">
        <v>24000000</v>
      </c>
      <c r="O14" s="34">
        <v>27000000</v>
      </c>
      <c r="P14" s="34">
        <v>30000000</v>
      </c>
    </row>
    <row r="15" spans="1:16" x14ac:dyDescent="0.25">
      <c r="D15" s="3">
        <f t="shared" si="1"/>
        <v>6500</v>
      </c>
      <c r="E15" s="1">
        <v>52000000</v>
      </c>
      <c r="F15">
        <v>13000000</v>
      </c>
      <c r="G15">
        <v>39000000</v>
      </c>
      <c r="I15" s="3">
        <f t="shared" si="2"/>
        <v>6500</v>
      </c>
      <c r="J15" s="34">
        <v>13000000</v>
      </c>
      <c r="K15" s="34">
        <v>16250000</v>
      </c>
      <c r="L15" s="34">
        <v>19500000</v>
      </c>
      <c r="M15" s="34">
        <v>22750000</v>
      </c>
      <c r="N15" s="34">
        <v>26000000</v>
      </c>
      <c r="O15" s="34">
        <v>29250000</v>
      </c>
      <c r="P15" s="34">
        <v>32500000</v>
      </c>
    </row>
    <row r="16" spans="1:16" x14ac:dyDescent="0.25">
      <c r="D16" s="3">
        <f t="shared" si="1"/>
        <v>7000</v>
      </c>
      <c r="E16" s="1">
        <v>56000000</v>
      </c>
      <c r="F16">
        <v>14000000</v>
      </c>
      <c r="G16">
        <v>42000000</v>
      </c>
      <c r="I16" s="3">
        <f t="shared" si="2"/>
        <v>7000</v>
      </c>
      <c r="J16" s="34">
        <v>14000000</v>
      </c>
      <c r="K16" s="34">
        <v>17500000</v>
      </c>
      <c r="L16" s="34">
        <v>21000000</v>
      </c>
      <c r="M16" s="34">
        <v>24500000</v>
      </c>
      <c r="N16" s="34">
        <v>28000000</v>
      </c>
      <c r="O16" s="34">
        <v>31500000</v>
      </c>
      <c r="P16" s="34">
        <v>35000000</v>
      </c>
    </row>
    <row r="17" spans="4:16" x14ac:dyDescent="0.25">
      <c r="D17" s="3">
        <f t="shared" si="1"/>
        <v>7500</v>
      </c>
      <c r="E17" s="1">
        <v>60000000</v>
      </c>
      <c r="F17">
        <v>15000000</v>
      </c>
      <c r="G17">
        <v>45000000</v>
      </c>
      <c r="I17" s="3">
        <f t="shared" si="2"/>
        <v>7500</v>
      </c>
      <c r="J17" s="34">
        <v>15000000</v>
      </c>
      <c r="K17" s="34">
        <v>18750000</v>
      </c>
      <c r="L17" s="34">
        <v>22500000</v>
      </c>
      <c r="M17" s="34">
        <v>26250000</v>
      </c>
      <c r="N17" s="34">
        <v>30000000</v>
      </c>
      <c r="O17" s="34">
        <v>33750000</v>
      </c>
      <c r="P17" s="34">
        <v>37500000</v>
      </c>
    </row>
    <row r="18" spans="4:16" x14ac:dyDescent="0.25">
      <c r="D18" s="3">
        <f t="shared" si="1"/>
        <v>8000</v>
      </c>
      <c r="E18" s="1">
        <v>64000000</v>
      </c>
      <c r="F18">
        <v>16000000</v>
      </c>
      <c r="G18">
        <v>48000000</v>
      </c>
      <c r="I18" s="3">
        <f t="shared" si="2"/>
        <v>8000</v>
      </c>
      <c r="J18" s="34">
        <v>16000000</v>
      </c>
      <c r="K18" s="34">
        <v>20000000</v>
      </c>
      <c r="L18" s="34">
        <v>24000000</v>
      </c>
      <c r="M18" s="34">
        <v>28000000</v>
      </c>
      <c r="N18" s="34">
        <v>32000000</v>
      </c>
      <c r="O18" s="34">
        <v>36000000</v>
      </c>
      <c r="P18" s="34">
        <v>40000000</v>
      </c>
    </row>
    <row r="19" spans="4:16" x14ac:dyDescent="0.25">
      <c r="D19" s="3">
        <f t="shared" si="1"/>
        <v>8500</v>
      </c>
      <c r="E19" s="1">
        <v>68000000</v>
      </c>
      <c r="F19">
        <v>17000000</v>
      </c>
      <c r="G19">
        <v>51000000</v>
      </c>
      <c r="I19" s="3">
        <f t="shared" si="2"/>
        <v>8500</v>
      </c>
      <c r="J19" s="34">
        <v>17000000</v>
      </c>
      <c r="K19" s="34">
        <v>21250000</v>
      </c>
      <c r="L19" s="34">
        <v>25500000</v>
      </c>
      <c r="M19" s="34">
        <v>29750000</v>
      </c>
      <c r="N19" s="34">
        <v>34000000</v>
      </c>
      <c r="O19" s="34">
        <v>38250000</v>
      </c>
      <c r="P19" s="34">
        <v>42500000</v>
      </c>
    </row>
    <row r="20" spans="4:16" x14ac:dyDescent="0.25">
      <c r="D20" s="3">
        <f t="shared" si="1"/>
        <v>9000</v>
      </c>
      <c r="E20" s="1">
        <v>72000000</v>
      </c>
      <c r="F20">
        <v>18000000</v>
      </c>
      <c r="G20">
        <v>54000000</v>
      </c>
      <c r="I20" s="3">
        <f t="shared" si="2"/>
        <v>9000</v>
      </c>
      <c r="J20" s="34">
        <v>18000000</v>
      </c>
      <c r="K20" s="34">
        <v>22500000</v>
      </c>
      <c r="L20" s="34">
        <v>27000000</v>
      </c>
      <c r="M20" s="34">
        <v>31500000</v>
      </c>
      <c r="N20" s="34">
        <v>36000000</v>
      </c>
      <c r="O20" s="34">
        <v>40500000</v>
      </c>
      <c r="P20" s="34">
        <v>45000000</v>
      </c>
    </row>
    <row r="21" spans="4:16" x14ac:dyDescent="0.25">
      <c r="D21" s="3">
        <f t="shared" si="1"/>
        <v>9500</v>
      </c>
      <c r="E21" s="1">
        <v>76000000</v>
      </c>
      <c r="F21">
        <v>19000000</v>
      </c>
      <c r="G21">
        <v>57000000</v>
      </c>
      <c r="I21" s="3">
        <f t="shared" si="2"/>
        <v>9500</v>
      </c>
      <c r="J21" s="34">
        <v>19000000</v>
      </c>
      <c r="K21" s="34">
        <v>23750000</v>
      </c>
      <c r="L21" s="34">
        <v>28500000</v>
      </c>
      <c r="M21" s="34">
        <v>33250000</v>
      </c>
      <c r="N21" s="34">
        <v>38000000</v>
      </c>
      <c r="O21" s="34">
        <v>42750000</v>
      </c>
      <c r="P21" s="34">
        <v>47500000</v>
      </c>
    </row>
  </sheetData>
  <pageMargins left="0.7" right="0.7" top="0.75" bottom="0.75" header="0.3" footer="0.3"/>
  <pageSetup paperSize="34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1C0B-1C96-4DDC-B030-40C57BF4C228}">
  <dimension ref="A1:U1023"/>
  <sheetViews>
    <sheetView tabSelected="1" topLeftCell="A22" workbookViewId="0">
      <selection activeCell="G30" sqref="G30"/>
    </sheetView>
  </sheetViews>
  <sheetFormatPr baseColWidth="10" defaultRowHeight="15" x14ac:dyDescent="0.25"/>
  <cols>
    <col min="1" max="1" width="17" customWidth="1"/>
    <col min="2" max="2" width="14" bestFit="1" customWidth="1"/>
    <col min="3" max="5" width="15.5703125" bestFit="1" customWidth="1"/>
    <col min="6" max="6" width="16.7109375" bestFit="1" customWidth="1"/>
    <col min="7" max="8" width="15.5703125" bestFit="1" customWidth="1"/>
    <col min="9" max="9" width="15.5703125" customWidth="1"/>
    <col min="10" max="16" width="16.7109375" bestFit="1" customWidth="1"/>
  </cols>
  <sheetData>
    <row r="1" spans="1:15" x14ac:dyDescent="0.25">
      <c r="A1" s="3" t="s">
        <v>5</v>
      </c>
    </row>
    <row r="2" spans="1:15" x14ac:dyDescent="0.25"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/>
      <c r="J2" s="9" t="s">
        <v>15</v>
      </c>
      <c r="K2" s="9" t="s">
        <v>16</v>
      </c>
      <c r="L2" s="9" t="s">
        <v>17</v>
      </c>
      <c r="M2" s="9" t="s">
        <v>18</v>
      </c>
      <c r="N2" s="9" t="s">
        <v>19</v>
      </c>
      <c r="O2" s="9" t="s">
        <v>20</v>
      </c>
    </row>
    <row r="3" spans="1:15" x14ac:dyDescent="0.25">
      <c r="A3" s="13" t="s">
        <v>8</v>
      </c>
      <c r="B3" s="36">
        <v>3900</v>
      </c>
      <c r="C3" s="14">
        <f ca="1">_xlfn.NORM.INV(RAND(),$B3,300)</f>
        <v>4196.1538629070719</v>
      </c>
      <c r="D3" s="14">
        <f t="shared" ref="D3:O3" ca="1" si="0">_xlfn.NORM.INV(RAND(),$B3,300)</f>
        <v>3840.8494097840517</v>
      </c>
      <c r="E3" s="14">
        <f t="shared" ca="1" si="0"/>
        <v>3778.2837432675151</v>
      </c>
      <c r="F3" s="14">
        <f t="shared" ca="1" si="0"/>
        <v>3253.4617670391081</v>
      </c>
      <c r="G3" s="14">
        <f t="shared" ca="1" si="0"/>
        <v>3504.3072536460763</v>
      </c>
      <c r="H3" s="14">
        <f t="shared" ca="1" si="0"/>
        <v>3495.3812294735039</v>
      </c>
      <c r="I3" s="14"/>
      <c r="J3" s="14">
        <f t="shared" ca="1" si="0"/>
        <v>3812.0343666956264</v>
      </c>
      <c r="K3" s="14">
        <f t="shared" ca="1" si="0"/>
        <v>3907.3518001729913</v>
      </c>
      <c r="L3" s="14">
        <f t="shared" ca="1" si="0"/>
        <v>4163.6845505698902</v>
      </c>
      <c r="M3" s="14">
        <f t="shared" ca="1" si="0"/>
        <v>4110.8688400327819</v>
      </c>
      <c r="N3" s="14">
        <f t="shared" ca="1" si="0"/>
        <v>4001.6173076779146</v>
      </c>
      <c r="O3" s="15">
        <f t="shared" ca="1" si="0"/>
        <v>3979.7531078383108</v>
      </c>
    </row>
    <row r="4" spans="1:15" x14ac:dyDescent="0.25">
      <c r="A4" s="16" t="s">
        <v>1</v>
      </c>
      <c r="O4" s="17"/>
    </row>
    <row r="5" spans="1:15" x14ac:dyDescent="0.25">
      <c r="A5" s="18" t="s">
        <v>6</v>
      </c>
      <c r="B5" s="19">
        <v>50</v>
      </c>
      <c r="C5" s="19">
        <f t="shared" ref="C5:O5" si="1">B5</f>
        <v>50</v>
      </c>
      <c r="D5" s="19">
        <f t="shared" si="1"/>
        <v>50</v>
      </c>
      <c r="E5" s="19">
        <f t="shared" si="1"/>
        <v>50</v>
      </c>
      <c r="F5" s="19">
        <f t="shared" si="1"/>
        <v>50</v>
      </c>
      <c r="G5" s="19">
        <f t="shared" si="1"/>
        <v>50</v>
      </c>
      <c r="H5" s="19">
        <f t="shared" si="1"/>
        <v>50</v>
      </c>
      <c r="I5" s="19"/>
      <c r="J5" s="19">
        <f>H5</f>
        <v>50</v>
      </c>
      <c r="K5" s="19">
        <f t="shared" si="1"/>
        <v>50</v>
      </c>
      <c r="L5" s="19">
        <f t="shared" si="1"/>
        <v>50</v>
      </c>
      <c r="M5" s="19">
        <f t="shared" si="1"/>
        <v>50</v>
      </c>
      <c r="N5" s="19">
        <f t="shared" si="1"/>
        <v>50</v>
      </c>
      <c r="O5" s="20">
        <f t="shared" si="1"/>
        <v>50</v>
      </c>
    </row>
    <row r="6" spans="1:15" x14ac:dyDescent="0.25">
      <c r="A6" s="18" t="s">
        <v>7</v>
      </c>
      <c r="B6" s="19">
        <v>70</v>
      </c>
      <c r="C6" s="19">
        <f t="shared" ref="C6:O6" si="2">B6</f>
        <v>70</v>
      </c>
      <c r="D6" s="19">
        <f t="shared" si="2"/>
        <v>70</v>
      </c>
      <c r="E6" s="19">
        <f t="shared" si="2"/>
        <v>70</v>
      </c>
      <c r="F6" s="19">
        <f t="shared" si="2"/>
        <v>70</v>
      </c>
      <c r="G6" s="19">
        <f t="shared" si="2"/>
        <v>70</v>
      </c>
      <c r="H6" s="19">
        <f t="shared" si="2"/>
        <v>70</v>
      </c>
      <c r="I6" s="19"/>
      <c r="J6" s="19">
        <f>H6</f>
        <v>70</v>
      </c>
      <c r="K6" s="19">
        <f t="shared" si="2"/>
        <v>70</v>
      </c>
      <c r="L6" s="19">
        <f t="shared" si="2"/>
        <v>70</v>
      </c>
      <c r="M6" s="19">
        <f t="shared" si="2"/>
        <v>70</v>
      </c>
      <c r="N6" s="19">
        <f t="shared" si="2"/>
        <v>70</v>
      </c>
      <c r="O6" s="20">
        <f t="shared" si="2"/>
        <v>70</v>
      </c>
    </row>
    <row r="7" spans="1:15" x14ac:dyDescent="0.25">
      <c r="A7" s="16" t="s">
        <v>24</v>
      </c>
      <c r="B7" s="6">
        <v>0.3</v>
      </c>
      <c r="O7" s="17"/>
    </row>
    <row r="8" spans="1:15" x14ac:dyDescent="0.25">
      <c r="A8" s="18" t="s">
        <v>6</v>
      </c>
      <c r="B8" s="6">
        <f t="shared" ref="B8:B9" si="3">B7</f>
        <v>0.3</v>
      </c>
      <c r="C8" s="19">
        <f>C5/(1-$B8)</f>
        <v>71.428571428571431</v>
      </c>
      <c r="D8" s="19">
        <f t="shared" ref="D8:O8" si="4">D5/(1-$B8)</f>
        <v>71.428571428571431</v>
      </c>
      <c r="E8" s="19">
        <f t="shared" si="4"/>
        <v>71.428571428571431</v>
      </c>
      <c r="F8" s="19">
        <f t="shared" si="4"/>
        <v>71.428571428571431</v>
      </c>
      <c r="G8" s="19">
        <f t="shared" si="4"/>
        <v>71.428571428571431</v>
      </c>
      <c r="H8" s="19">
        <f t="shared" si="4"/>
        <v>71.428571428571431</v>
      </c>
      <c r="I8" s="19"/>
      <c r="J8" s="19">
        <f t="shared" si="4"/>
        <v>71.428571428571431</v>
      </c>
      <c r="K8" s="19">
        <f t="shared" si="4"/>
        <v>71.428571428571431</v>
      </c>
      <c r="L8" s="19">
        <f t="shared" si="4"/>
        <v>71.428571428571431</v>
      </c>
      <c r="M8" s="19">
        <f t="shared" si="4"/>
        <v>71.428571428571431</v>
      </c>
      <c r="N8" s="19">
        <f t="shared" si="4"/>
        <v>71.428571428571431</v>
      </c>
      <c r="O8" s="20">
        <f t="shared" si="4"/>
        <v>71.428571428571431</v>
      </c>
    </row>
    <row r="9" spans="1:15" x14ac:dyDescent="0.25">
      <c r="A9" s="18" t="s">
        <v>7</v>
      </c>
      <c r="B9" s="6">
        <f t="shared" si="3"/>
        <v>0.3</v>
      </c>
      <c r="C9" s="19">
        <f>C6/(1-$B9)</f>
        <v>100</v>
      </c>
      <c r="D9" s="19">
        <f t="shared" ref="D9:O9" si="5">D6/(1-$B9)</f>
        <v>100</v>
      </c>
      <c r="E9" s="19">
        <f t="shared" si="5"/>
        <v>100</v>
      </c>
      <c r="F9" s="19">
        <f t="shared" si="5"/>
        <v>100</v>
      </c>
      <c r="G9" s="19">
        <f t="shared" si="5"/>
        <v>100</v>
      </c>
      <c r="H9" s="19">
        <f t="shared" si="5"/>
        <v>100</v>
      </c>
      <c r="I9" s="19"/>
      <c r="J9" s="19">
        <f t="shared" si="5"/>
        <v>100</v>
      </c>
      <c r="K9" s="19">
        <f t="shared" si="5"/>
        <v>100</v>
      </c>
      <c r="L9" s="19">
        <f t="shared" si="5"/>
        <v>100</v>
      </c>
      <c r="M9" s="19">
        <f t="shared" si="5"/>
        <v>100</v>
      </c>
      <c r="N9" s="19">
        <f t="shared" si="5"/>
        <v>100</v>
      </c>
      <c r="O9" s="20">
        <f t="shared" si="5"/>
        <v>100</v>
      </c>
    </row>
    <row r="10" spans="1:15" x14ac:dyDescent="0.25">
      <c r="A10" s="16" t="s">
        <v>25</v>
      </c>
      <c r="B10" s="6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</row>
    <row r="11" spans="1:15" x14ac:dyDescent="0.25">
      <c r="A11" s="18" t="s">
        <v>6</v>
      </c>
      <c r="B11" s="21">
        <f>B3</f>
        <v>3900</v>
      </c>
      <c r="C11" s="19">
        <f>$B11*C8</f>
        <v>278571.42857142858</v>
      </c>
      <c r="D11" s="19">
        <f t="shared" ref="D11:O11" si="6">$B11*D8</f>
        <v>278571.42857142858</v>
      </c>
      <c r="E11" s="19">
        <f t="shared" si="6"/>
        <v>278571.42857142858</v>
      </c>
      <c r="F11" s="19">
        <f t="shared" si="6"/>
        <v>278571.42857142858</v>
      </c>
      <c r="G11" s="19">
        <f t="shared" si="6"/>
        <v>278571.42857142858</v>
      </c>
      <c r="H11" s="19">
        <f t="shared" si="6"/>
        <v>278571.42857142858</v>
      </c>
      <c r="I11" s="19"/>
      <c r="J11" s="19">
        <f t="shared" si="6"/>
        <v>278571.42857142858</v>
      </c>
      <c r="K11" s="19">
        <f t="shared" si="6"/>
        <v>278571.42857142858</v>
      </c>
      <c r="L11" s="19">
        <f t="shared" si="6"/>
        <v>278571.42857142858</v>
      </c>
      <c r="M11" s="19">
        <f t="shared" si="6"/>
        <v>278571.42857142858</v>
      </c>
      <c r="N11" s="19">
        <f t="shared" si="6"/>
        <v>278571.42857142858</v>
      </c>
      <c r="O11" s="20">
        <f t="shared" si="6"/>
        <v>278571.42857142858</v>
      </c>
    </row>
    <row r="12" spans="1:15" x14ac:dyDescent="0.25">
      <c r="A12" s="18" t="s">
        <v>7</v>
      </c>
      <c r="B12" s="21">
        <f>B3</f>
        <v>3900</v>
      </c>
      <c r="C12" s="19">
        <f>$B12*C9</f>
        <v>390000</v>
      </c>
      <c r="D12" s="19">
        <f t="shared" ref="D12:O12" si="7">$B12*D9</f>
        <v>390000</v>
      </c>
      <c r="E12" s="19">
        <f t="shared" si="7"/>
        <v>390000</v>
      </c>
      <c r="F12" s="19">
        <f t="shared" si="7"/>
        <v>390000</v>
      </c>
      <c r="G12" s="19">
        <f t="shared" si="7"/>
        <v>390000</v>
      </c>
      <c r="H12" s="19">
        <f t="shared" si="7"/>
        <v>390000</v>
      </c>
      <c r="I12" s="19"/>
      <c r="J12" s="19">
        <f t="shared" si="7"/>
        <v>390000</v>
      </c>
      <c r="K12" s="19">
        <f t="shared" si="7"/>
        <v>390000</v>
      </c>
      <c r="L12" s="19">
        <f t="shared" si="7"/>
        <v>390000</v>
      </c>
      <c r="M12" s="19">
        <f t="shared" si="7"/>
        <v>390000</v>
      </c>
      <c r="N12" s="19">
        <f t="shared" si="7"/>
        <v>390000</v>
      </c>
      <c r="O12" s="20">
        <f t="shared" si="7"/>
        <v>390000</v>
      </c>
    </row>
    <row r="13" spans="1:15" x14ac:dyDescent="0.25">
      <c r="A13" s="16" t="s">
        <v>2</v>
      </c>
      <c r="O13" s="17"/>
    </row>
    <row r="14" spans="1:15" x14ac:dyDescent="0.25">
      <c r="A14" s="18" t="s">
        <v>6</v>
      </c>
      <c r="C14">
        <f t="shared" ref="C14:O14" ca="1" si="8">RANDBETWEEN(100,150)</f>
        <v>127</v>
      </c>
      <c r="D14">
        <f t="shared" ca="1" si="8"/>
        <v>144</v>
      </c>
      <c r="E14">
        <f t="shared" ca="1" si="8"/>
        <v>145</v>
      </c>
      <c r="F14">
        <f t="shared" ca="1" si="8"/>
        <v>128</v>
      </c>
      <c r="G14">
        <f t="shared" ca="1" si="8"/>
        <v>133</v>
      </c>
      <c r="H14">
        <f t="shared" ca="1" si="8"/>
        <v>133</v>
      </c>
      <c r="J14">
        <f t="shared" ca="1" si="8"/>
        <v>112</v>
      </c>
      <c r="K14">
        <f t="shared" ca="1" si="8"/>
        <v>107</v>
      </c>
      <c r="L14">
        <f t="shared" ca="1" si="8"/>
        <v>148</v>
      </c>
      <c r="M14">
        <f t="shared" ca="1" si="8"/>
        <v>139</v>
      </c>
      <c r="N14">
        <f t="shared" ca="1" si="8"/>
        <v>113</v>
      </c>
      <c r="O14" s="17">
        <f t="shared" ca="1" si="8"/>
        <v>110</v>
      </c>
    </row>
    <row r="15" spans="1:15" x14ac:dyDescent="0.25">
      <c r="A15" s="22" t="s">
        <v>7</v>
      </c>
      <c r="B15" s="23"/>
      <c r="C15" s="23">
        <f ca="1">RANDBETWEEN(60,90)</f>
        <v>71</v>
      </c>
      <c r="D15" s="23">
        <f t="shared" ref="D15:O15" ca="1" si="9">RANDBETWEEN(60,90)</f>
        <v>75</v>
      </c>
      <c r="E15" s="23">
        <f t="shared" ca="1" si="9"/>
        <v>62</v>
      </c>
      <c r="F15" s="23">
        <f t="shared" ca="1" si="9"/>
        <v>72</v>
      </c>
      <c r="G15" s="23">
        <f t="shared" ca="1" si="9"/>
        <v>61</v>
      </c>
      <c r="H15" s="23">
        <f t="shared" ca="1" si="9"/>
        <v>72</v>
      </c>
      <c r="I15" s="23"/>
      <c r="J15" s="23">
        <f t="shared" ca="1" si="9"/>
        <v>76</v>
      </c>
      <c r="K15" s="23">
        <f t="shared" ca="1" si="9"/>
        <v>71</v>
      </c>
      <c r="L15" s="23">
        <f t="shared" ca="1" si="9"/>
        <v>74</v>
      </c>
      <c r="M15" s="23">
        <f t="shared" ca="1" si="9"/>
        <v>79</v>
      </c>
      <c r="N15" s="23">
        <f t="shared" ca="1" si="9"/>
        <v>72</v>
      </c>
      <c r="O15" s="24">
        <f t="shared" ca="1" si="9"/>
        <v>60</v>
      </c>
    </row>
    <row r="17" spans="1:21" x14ac:dyDescent="0.25">
      <c r="A17" s="25" t="s">
        <v>1</v>
      </c>
      <c r="B17" s="26"/>
      <c r="C17" s="27">
        <f t="shared" ref="C17:O17" ca="1" si="10">SUMPRODUCT(C5:C6,C14:C15)*C$3</f>
        <v>47500461.728108056</v>
      </c>
      <c r="D17" s="27">
        <f t="shared" ca="1" si="10"/>
        <v>47818575.151811443</v>
      </c>
      <c r="E17" s="27">
        <f t="shared" ca="1" si="10"/>
        <v>43790308.584470503</v>
      </c>
      <c r="F17" s="27">
        <f t="shared" ca="1" si="10"/>
        <v>37219602.614927396</v>
      </c>
      <c r="G17" s="27">
        <f t="shared" ca="1" si="10"/>
        <v>38267035.209815152</v>
      </c>
      <c r="H17" s="27">
        <f t="shared" ca="1" si="10"/>
        <v>40861006.57254526</v>
      </c>
      <c r="I17" s="27"/>
      <c r="J17" s="27">
        <f t="shared" ca="1" si="10"/>
        <v>41627415.284316242</v>
      </c>
      <c r="K17" s="27">
        <f t="shared" ca="1" si="10"/>
        <v>40323870.577785268</v>
      </c>
      <c r="L17" s="27">
        <f t="shared" ca="1" si="10"/>
        <v>52379151.646169215</v>
      </c>
      <c r="M17" s="27">
        <f t="shared" ca="1" si="10"/>
        <v>51303643.123609118</v>
      </c>
      <c r="N17" s="27">
        <f t="shared" ca="1" si="10"/>
        <v>42777289.019076906</v>
      </c>
      <c r="O17" s="28">
        <f t="shared" ca="1" si="10"/>
        <v>38603605.146031618</v>
      </c>
    </row>
    <row r="18" spans="1:21" x14ac:dyDescent="0.25">
      <c r="A18" s="16" t="s">
        <v>3</v>
      </c>
      <c r="C18" s="29">
        <f t="shared" ref="C18:O18" ca="1" si="11">SUMPRODUCT(C8:C9,C14:C15)*$B$3</f>
        <v>63068571.428571433</v>
      </c>
      <c r="D18" s="29">
        <f t="shared" ca="1" si="11"/>
        <v>69364285.714285716</v>
      </c>
      <c r="E18" s="29">
        <f t="shared" ca="1" si="11"/>
        <v>64572857.142857134</v>
      </c>
      <c r="F18" s="29">
        <f t="shared" ca="1" si="11"/>
        <v>63737142.857142858</v>
      </c>
      <c r="G18" s="29">
        <f t="shared" ca="1" si="11"/>
        <v>60840000</v>
      </c>
      <c r="H18" s="29">
        <f t="shared" ca="1" si="11"/>
        <v>65130000</v>
      </c>
      <c r="I18" s="29"/>
      <c r="J18" s="29">
        <f t="shared" ca="1" si="11"/>
        <v>60840000</v>
      </c>
      <c r="K18" s="29">
        <f t="shared" ca="1" si="11"/>
        <v>57497142.857142858</v>
      </c>
      <c r="L18" s="29">
        <f t="shared" ca="1" si="11"/>
        <v>70088571.428571433</v>
      </c>
      <c r="M18" s="29">
        <f t="shared" ca="1" si="11"/>
        <v>69531428.571428567</v>
      </c>
      <c r="N18" s="29">
        <f t="shared" ca="1" si="11"/>
        <v>59558571.428571433</v>
      </c>
      <c r="O18" s="30">
        <f t="shared" ca="1" si="11"/>
        <v>54042857.142857149</v>
      </c>
    </row>
    <row r="19" spans="1:21" x14ac:dyDescent="0.25">
      <c r="A19" s="16" t="s">
        <v>4</v>
      </c>
      <c r="C19" s="29">
        <f ca="1">C18-C17</f>
        <v>15568109.700463377</v>
      </c>
      <c r="D19" s="29">
        <f t="shared" ref="D19:O19" ca="1" si="12">D18-D17</f>
        <v>21545710.562474273</v>
      </c>
      <c r="E19" s="29">
        <f t="shared" ca="1" si="12"/>
        <v>20782548.558386631</v>
      </c>
      <c r="F19" s="29">
        <f t="shared" ca="1" si="12"/>
        <v>26517540.242215462</v>
      </c>
      <c r="G19" s="29">
        <f t="shared" ca="1" si="12"/>
        <v>22572964.790184848</v>
      </c>
      <c r="H19" s="29">
        <f t="shared" ca="1" si="12"/>
        <v>24268993.42745474</v>
      </c>
      <c r="I19" s="29"/>
      <c r="J19" s="29">
        <f t="shared" ca="1" si="12"/>
        <v>19212584.715683758</v>
      </c>
      <c r="K19" s="29">
        <f t="shared" ca="1" si="12"/>
        <v>17173272.27935759</v>
      </c>
      <c r="L19" s="29">
        <f t="shared" ca="1" si="12"/>
        <v>17709419.782402217</v>
      </c>
      <c r="M19" s="29">
        <f t="shared" ca="1" si="12"/>
        <v>18227785.447819449</v>
      </c>
      <c r="N19" s="29">
        <f t="shared" ca="1" si="12"/>
        <v>16781282.409494527</v>
      </c>
      <c r="O19" s="30">
        <f t="shared" ca="1" si="12"/>
        <v>15439251.996825531</v>
      </c>
    </row>
    <row r="20" spans="1:21" x14ac:dyDescent="0.25">
      <c r="A20" s="31" t="s">
        <v>26</v>
      </c>
      <c r="B20" s="23"/>
      <c r="C20" s="32">
        <f ca="1">C19/C18</f>
        <v>0.24684417845257686</v>
      </c>
      <c r="D20" s="32">
        <f t="shared" ref="D20:O20" ca="1" si="13">D19/D18</f>
        <v>0.31061677260286252</v>
      </c>
      <c r="E20" s="32">
        <f t="shared" ca="1" si="13"/>
        <v>0.32184650761865102</v>
      </c>
      <c r="F20" s="32">
        <f t="shared" ca="1" si="13"/>
        <v>0.4160453238647755</v>
      </c>
      <c r="G20" s="32">
        <f t="shared" ca="1" si="13"/>
        <v>0.37102177498660172</v>
      </c>
      <c r="H20" s="32">
        <f t="shared" ca="1" si="13"/>
        <v>0.37262388188937112</v>
      </c>
      <c r="I20" s="32"/>
      <c r="J20" s="32">
        <f t="shared" ca="1" si="13"/>
        <v>0.31578870341360549</v>
      </c>
      <c r="K20" s="32">
        <f t="shared" ca="1" si="13"/>
        <v>0.29868044612279648</v>
      </c>
      <c r="L20" s="32">
        <f t="shared" ca="1" si="13"/>
        <v>0.25267200374386595</v>
      </c>
      <c r="M20" s="32">
        <f t="shared" ca="1" si="13"/>
        <v>0.26215174666078267</v>
      </c>
      <c r="N20" s="32">
        <f t="shared" ca="1" si="13"/>
        <v>0.28176099605781024</v>
      </c>
      <c r="O20" s="33">
        <f t="shared" ca="1" si="13"/>
        <v>0.28568533961876474</v>
      </c>
    </row>
    <row r="21" spans="1:21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21" x14ac:dyDescent="0.25">
      <c r="A22" s="10" t="s">
        <v>21</v>
      </c>
      <c r="B22" s="12">
        <f ca="1">SUM(C17:O17)</f>
        <v>522471964.65866613</v>
      </c>
      <c r="E22" s="2"/>
    </row>
    <row r="23" spans="1:21" x14ac:dyDescent="0.25">
      <c r="A23" s="11" t="s">
        <v>23</v>
      </c>
      <c r="B23" s="12">
        <f t="shared" ref="B23:B24" ca="1" si="14">SUM(C18:O18)</f>
        <v>758271428.57142866</v>
      </c>
      <c r="E23" s="2">
        <f ca="1">B25</f>
        <v>0.31096973330118061</v>
      </c>
      <c r="K23" s="6">
        <f ca="1">B25</f>
        <v>0.31096973330118061</v>
      </c>
      <c r="L23" s="2">
        <f ca="1">B24</f>
        <v>235799463.9127624</v>
      </c>
      <c r="N23" s="2">
        <f ca="1">B24</f>
        <v>235799463.9127624</v>
      </c>
      <c r="O23">
        <v>3700</v>
      </c>
      <c r="P23">
        <f>O23+100</f>
        <v>3800</v>
      </c>
      <c r="Q23">
        <f t="shared" ref="Q23:U23" si="15">P23+100</f>
        <v>3900</v>
      </c>
      <c r="R23">
        <f t="shared" si="15"/>
        <v>4000</v>
      </c>
      <c r="S23">
        <f t="shared" si="15"/>
        <v>4100</v>
      </c>
      <c r="T23">
        <f t="shared" si="15"/>
        <v>4200</v>
      </c>
      <c r="U23">
        <f t="shared" si="15"/>
        <v>4300</v>
      </c>
    </row>
    <row r="24" spans="1:21" x14ac:dyDescent="0.25">
      <c r="A24" s="11" t="s">
        <v>22</v>
      </c>
      <c r="B24" s="12">
        <f t="shared" ca="1" si="14"/>
        <v>235799463.9127624</v>
      </c>
      <c r="D24" cm="1">
        <f t="array" ref="D24:D1023">_xlfn.SEQUENCE(1000)</f>
        <v>1</v>
      </c>
      <c r="E24">
        <f t="dataTable" ref="E24:E1023" dt2D="0" dtr="0" r1="C23" ca="1"/>
        <v>0.30297502535836313</v>
      </c>
      <c r="G24" s="7">
        <f>MIN(E24:E1023)</f>
        <v>0.24209838755974247</v>
      </c>
      <c r="H24" cm="1">
        <f t="array" ref="H24:H34">FREQUENCY(E24:E1023,G24:G33)</f>
        <v>1</v>
      </c>
      <c r="I24" s="35">
        <f>H24/1000</f>
        <v>1E-3</v>
      </c>
      <c r="J24" s="6">
        <v>0.05</v>
      </c>
      <c r="K24" s="7">
        <f t="dataTable" ref="K24:L39" dt2D="0" dtr="0" r1="B7" ca="1"/>
        <v>8.8337130919985737E-3</v>
      </c>
      <c r="L24" s="34">
        <v>4925111.2027314454</v>
      </c>
      <c r="N24" s="6">
        <v>0.05</v>
      </c>
      <c r="O24" s="34">
        <f t="dataTable" ref="O24:U39" dt2D="1" dtr="1" r1="B3" r2="B7" ca="1"/>
        <v>31337597.981730506</v>
      </c>
      <c r="P24" s="34">
        <v>31278498.774190798</v>
      </c>
      <c r="Q24" s="34">
        <v>21865620.714219898</v>
      </c>
      <c r="R24" s="34">
        <v>36214600.126073949</v>
      </c>
      <c r="S24" s="34">
        <v>41413473.46418754</v>
      </c>
      <c r="T24" s="34">
        <v>31702769.767634287</v>
      </c>
      <c r="U24" s="34">
        <v>36884745.781335562</v>
      </c>
    </row>
    <row r="25" spans="1:21" x14ac:dyDescent="0.25">
      <c r="A25" s="11" t="s">
        <v>26</v>
      </c>
      <c r="B25" s="39">
        <f ca="1">B24/B23</f>
        <v>0.31096973330118061</v>
      </c>
      <c r="D25">
        <v>2</v>
      </c>
      <c r="E25">
        <v>0.31093528266170395</v>
      </c>
      <c r="G25" s="7">
        <f>G24+(($G$33-$G$24)/10)</f>
        <v>0.25262495662556594</v>
      </c>
      <c r="H25">
        <v>0</v>
      </c>
      <c r="I25" s="35">
        <f t="shared" ref="I25:I33" si="16">H25/1000</f>
        <v>0</v>
      </c>
      <c r="J25" s="6">
        <f>J24+3%</f>
        <v>0.08</v>
      </c>
      <c r="K25" s="7">
        <v>0.10170953032670969</v>
      </c>
      <c r="L25" s="34">
        <v>59159458.868368007</v>
      </c>
      <c r="M25" s="2"/>
      <c r="N25" s="6">
        <f>N24+3%</f>
        <v>0.08</v>
      </c>
      <c r="O25" s="34">
        <v>44218977.663030334</v>
      </c>
      <c r="P25" s="34">
        <v>21047942.218349896</v>
      </c>
      <c r="Q25" s="34">
        <v>64372561.02773542</v>
      </c>
      <c r="R25" s="34">
        <v>34465197.267423555</v>
      </c>
      <c r="S25" s="34">
        <v>54135050.593296625</v>
      </c>
      <c r="T25" s="34">
        <v>50780724.771295592</v>
      </c>
      <c r="U25" s="34">
        <v>73181958.690033257</v>
      </c>
    </row>
    <row r="26" spans="1:21" x14ac:dyDescent="0.25">
      <c r="D26">
        <v>3</v>
      </c>
      <c r="E26">
        <v>0.29311796401552315</v>
      </c>
      <c r="G26" s="7">
        <f t="shared" ref="G26:G32" si="17">G25+(($G$33-$G$24)/10)</f>
        <v>0.26315152569138944</v>
      </c>
      <c r="H26">
        <v>8</v>
      </c>
      <c r="I26" s="35">
        <f t="shared" si="16"/>
        <v>8.0000000000000002E-3</v>
      </c>
      <c r="J26" s="6">
        <f t="shared" ref="J26:J39" si="18">J25+3%</f>
        <v>0.11</v>
      </c>
      <c r="K26" s="7">
        <v>0.12503963211597835</v>
      </c>
      <c r="L26" s="34">
        <v>78265818.090607598</v>
      </c>
      <c r="N26" s="6">
        <f t="shared" ref="N26:N39" si="19">N25+3%</f>
        <v>0.11</v>
      </c>
      <c r="O26" s="34">
        <v>67034276.412217006</v>
      </c>
      <c r="P26" s="34">
        <v>75607559.052938104</v>
      </c>
      <c r="Q26" s="34">
        <v>47554404.004385285</v>
      </c>
      <c r="R26" s="34">
        <v>79654423.792182878</v>
      </c>
      <c r="S26" s="34">
        <v>51562952.358785585</v>
      </c>
      <c r="T26" s="34">
        <v>70753816.832714379</v>
      </c>
      <c r="U26" s="34">
        <v>78524904.588770568</v>
      </c>
    </row>
    <row r="27" spans="1:21" x14ac:dyDescent="0.25">
      <c r="D27">
        <v>4</v>
      </c>
      <c r="E27">
        <v>0.28412686412158517</v>
      </c>
      <c r="G27" s="7">
        <f t="shared" si="17"/>
        <v>0.27367809475721294</v>
      </c>
      <c r="H27">
        <v>36</v>
      </c>
      <c r="I27" s="35">
        <f t="shared" si="16"/>
        <v>3.5999999999999997E-2</v>
      </c>
      <c r="J27" s="6">
        <f t="shared" si="18"/>
        <v>0.14000000000000001</v>
      </c>
      <c r="K27" s="7">
        <v>0.17042085288359254</v>
      </c>
      <c r="L27" s="34">
        <v>100809086.73898798</v>
      </c>
      <c r="N27" s="6">
        <f t="shared" si="19"/>
        <v>0.14000000000000001</v>
      </c>
      <c r="O27" s="34">
        <v>77277131.587522417</v>
      </c>
      <c r="P27" s="34">
        <v>76273064.500508726</v>
      </c>
      <c r="Q27" s="34">
        <v>94332348.637434259</v>
      </c>
      <c r="R27" s="34">
        <v>98034345.119690031</v>
      </c>
      <c r="S27" s="34">
        <v>81256714.45785521</v>
      </c>
      <c r="T27" s="34">
        <v>93631708.656951725</v>
      </c>
      <c r="U27" s="34">
        <v>106362741.81489368</v>
      </c>
    </row>
    <row r="28" spans="1:21" x14ac:dyDescent="0.25">
      <c r="D28">
        <v>5</v>
      </c>
      <c r="E28">
        <v>0.30647478412116841</v>
      </c>
      <c r="G28" s="7">
        <f t="shared" si="17"/>
        <v>0.28420466382303644</v>
      </c>
      <c r="H28">
        <v>112</v>
      </c>
      <c r="I28" s="35">
        <f t="shared" si="16"/>
        <v>0.112</v>
      </c>
      <c r="J28" s="6">
        <f t="shared" si="18"/>
        <v>0.17</v>
      </c>
      <c r="K28" s="7">
        <v>0.17543511293977707</v>
      </c>
      <c r="L28" s="34">
        <v>117170786.88881163</v>
      </c>
      <c r="N28" s="6">
        <f t="shared" si="19"/>
        <v>0.17</v>
      </c>
      <c r="O28" s="34">
        <v>111198748.97256504</v>
      </c>
      <c r="P28" s="34">
        <v>114974725.73061123</v>
      </c>
      <c r="Q28" s="34">
        <v>105246309.07975605</v>
      </c>
      <c r="R28" s="34">
        <v>107052196.82211828</v>
      </c>
      <c r="S28" s="34">
        <v>126582529.27405196</v>
      </c>
      <c r="T28" s="34">
        <v>109812880.30572924</v>
      </c>
      <c r="U28" s="34">
        <v>112443613.84493297</v>
      </c>
    </row>
    <row r="29" spans="1:21" x14ac:dyDescent="0.25">
      <c r="D29">
        <v>6</v>
      </c>
      <c r="E29">
        <v>0.30640591037608444</v>
      </c>
      <c r="G29" s="7">
        <f t="shared" si="17"/>
        <v>0.29473123288885994</v>
      </c>
      <c r="H29">
        <v>216</v>
      </c>
      <c r="I29" s="35">
        <f t="shared" si="16"/>
        <v>0.216</v>
      </c>
      <c r="J29" s="6">
        <f t="shared" si="18"/>
        <v>0.2</v>
      </c>
      <c r="K29" s="7">
        <v>0.18506830368766039</v>
      </c>
      <c r="L29" s="34">
        <v>126769243.33687165</v>
      </c>
      <c r="N29" s="6">
        <f t="shared" si="19"/>
        <v>0.2</v>
      </c>
      <c r="O29" s="34">
        <v>132819614.92445074</v>
      </c>
      <c r="P29" s="34">
        <v>131370865.20335752</v>
      </c>
      <c r="Q29" s="34">
        <v>126463816.47932687</v>
      </c>
      <c r="R29" s="34">
        <v>146950125.70180666</v>
      </c>
      <c r="S29" s="34">
        <v>137376351.41426355</v>
      </c>
      <c r="T29" s="34">
        <v>151589205.45237583</v>
      </c>
      <c r="U29" s="34">
        <v>144448214.15936807</v>
      </c>
    </row>
    <row r="30" spans="1:21" x14ac:dyDescent="0.25">
      <c r="D30">
        <v>7</v>
      </c>
      <c r="E30">
        <v>0.31362254124817085</v>
      </c>
      <c r="G30" s="7">
        <f t="shared" si="17"/>
        <v>0.30525780195468344</v>
      </c>
      <c r="H30">
        <v>267</v>
      </c>
      <c r="I30" s="35">
        <f t="shared" si="16"/>
        <v>0.26700000000000002</v>
      </c>
      <c r="J30" s="6">
        <f t="shared" si="18"/>
        <v>0.23</v>
      </c>
      <c r="K30" s="7">
        <v>0.23845703710094407</v>
      </c>
      <c r="L30" s="34">
        <v>165730118.26086625</v>
      </c>
      <c r="N30" s="6">
        <f t="shared" si="19"/>
        <v>0.23</v>
      </c>
      <c r="O30" s="34">
        <v>143402642.31485462</v>
      </c>
      <c r="P30" s="34">
        <v>163203170.36710906</v>
      </c>
      <c r="Q30" s="34">
        <v>147858735.43536705</v>
      </c>
      <c r="R30" s="34">
        <v>148720853.8652693</v>
      </c>
      <c r="S30" s="34">
        <v>182007813.82249999</v>
      </c>
      <c r="T30" s="34">
        <v>179356304.9610762</v>
      </c>
      <c r="U30" s="34">
        <v>181575497.48223746</v>
      </c>
    </row>
    <row r="31" spans="1:21" x14ac:dyDescent="0.25">
      <c r="D31">
        <v>8</v>
      </c>
      <c r="E31">
        <v>0.30295777484290692</v>
      </c>
      <c r="G31" s="7">
        <f t="shared" si="17"/>
        <v>0.31578437102050694</v>
      </c>
      <c r="H31">
        <v>204</v>
      </c>
      <c r="I31" s="35">
        <f t="shared" si="16"/>
        <v>0.20399999999999999</v>
      </c>
      <c r="J31" s="6">
        <f t="shared" si="18"/>
        <v>0.26</v>
      </c>
      <c r="K31" s="7">
        <v>0.23219814241090286</v>
      </c>
      <c r="L31" s="34">
        <v>171263387.9980849</v>
      </c>
      <c r="N31" s="6">
        <f t="shared" si="19"/>
        <v>0.26</v>
      </c>
      <c r="O31" s="34">
        <v>158520873.71336591</v>
      </c>
      <c r="P31" s="34">
        <v>202869295.8208167</v>
      </c>
      <c r="Q31" s="34">
        <v>202571606.85565305</v>
      </c>
      <c r="R31" s="34">
        <v>195940825.07256183</v>
      </c>
      <c r="S31" s="34">
        <v>213573824.37109369</v>
      </c>
      <c r="T31" s="34">
        <v>224878854.78574097</v>
      </c>
      <c r="U31" s="34">
        <v>203144890.27404118</v>
      </c>
    </row>
    <row r="32" spans="1:21" x14ac:dyDescent="0.25">
      <c r="D32">
        <v>9</v>
      </c>
      <c r="E32">
        <v>0.28413510657029367</v>
      </c>
      <c r="G32" s="7">
        <f t="shared" si="17"/>
        <v>0.32631094008633044</v>
      </c>
      <c r="H32">
        <v>101</v>
      </c>
      <c r="I32" s="35">
        <f t="shared" si="16"/>
        <v>0.10100000000000001</v>
      </c>
      <c r="J32" s="6">
        <f t="shared" si="18"/>
        <v>0.29000000000000004</v>
      </c>
      <c r="K32" s="7">
        <v>0.27850177619216154</v>
      </c>
      <c r="L32" s="34">
        <v>213819934.79954344</v>
      </c>
      <c r="N32" s="6">
        <f t="shared" si="19"/>
        <v>0.29000000000000004</v>
      </c>
      <c r="O32" s="34">
        <v>215925884.67784905</v>
      </c>
      <c r="P32" s="34">
        <v>211536531.00075224</v>
      </c>
      <c r="Q32" s="34">
        <v>211763997.27923906</v>
      </c>
      <c r="R32" s="34">
        <v>213479659.87646049</v>
      </c>
      <c r="S32" s="34">
        <v>253915307.77614951</v>
      </c>
      <c r="T32" s="34">
        <v>241449052.84201008</v>
      </c>
      <c r="U32" s="34">
        <v>262747276.08620545</v>
      </c>
    </row>
    <row r="33" spans="4:21" x14ac:dyDescent="0.25">
      <c r="D33">
        <v>10</v>
      </c>
      <c r="E33">
        <v>0.3114513623692895</v>
      </c>
      <c r="G33" s="7">
        <f>MAX(E24:E1023)</f>
        <v>0.34736407821797727</v>
      </c>
      <c r="H33">
        <v>55</v>
      </c>
      <c r="I33" s="35">
        <f t="shared" si="16"/>
        <v>5.5E-2</v>
      </c>
      <c r="J33" s="6">
        <f t="shared" si="18"/>
        <v>0.32000000000000006</v>
      </c>
      <c r="K33" s="7">
        <v>0.31639128106846498</v>
      </c>
      <c r="L33" s="34">
        <v>246839637.14499831</v>
      </c>
      <c r="N33" s="6">
        <f t="shared" si="19"/>
        <v>0.32000000000000006</v>
      </c>
      <c r="O33" s="34">
        <v>226878202.61917597</v>
      </c>
      <c r="P33" s="34">
        <v>263750074.3514044</v>
      </c>
      <c r="Q33" s="34">
        <v>254066084.99817485</v>
      </c>
      <c r="R33" s="34">
        <v>254518947.48136008</v>
      </c>
      <c r="S33" s="34">
        <v>257629480.20445859</v>
      </c>
      <c r="T33" s="34">
        <v>285192730.76950961</v>
      </c>
      <c r="U33" s="34">
        <v>272706133.42261201</v>
      </c>
    </row>
    <row r="34" spans="4:21" x14ac:dyDescent="0.25">
      <c r="D34">
        <v>11</v>
      </c>
      <c r="E34">
        <v>0.28312256317065931</v>
      </c>
      <c r="H34">
        <v>0</v>
      </c>
      <c r="J34" s="6">
        <f t="shared" si="18"/>
        <v>0.35000000000000009</v>
      </c>
      <c r="K34" s="7">
        <v>0.38338112829020765</v>
      </c>
      <c r="L34" s="34">
        <v>318589717.60916257</v>
      </c>
      <c r="N34" s="6">
        <f t="shared" si="19"/>
        <v>0.35000000000000009</v>
      </c>
      <c r="O34" s="34">
        <v>244224690.20220399</v>
      </c>
      <c r="P34" s="34">
        <v>271349071.75089538</v>
      </c>
      <c r="Q34" s="34">
        <v>303886456.62164122</v>
      </c>
      <c r="R34" s="34">
        <v>286788836.26195341</v>
      </c>
      <c r="S34" s="34">
        <v>323127653.83724838</v>
      </c>
      <c r="T34" s="34">
        <v>331792050.48647541</v>
      </c>
      <c r="U34" s="34">
        <v>337979789.94199735</v>
      </c>
    </row>
    <row r="35" spans="4:21" x14ac:dyDescent="0.25">
      <c r="D35">
        <v>12</v>
      </c>
      <c r="E35">
        <v>0.31629435590883392</v>
      </c>
      <c r="J35" s="6">
        <f t="shared" si="18"/>
        <v>0.38000000000000012</v>
      </c>
      <c r="K35" s="7">
        <v>0.38015384766074856</v>
      </c>
      <c r="L35" s="34">
        <v>329041549.69139379</v>
      </c>
      <c r="N35" s="6">
        <f t="shared" si="19"/>
        <v>0.38000000000000012</v>
      </c>
      <c r="O35" s="34">
        <v>297097499.49060208</v>
      </c>
      <c r="P35" s="34">
        <v>332102955.57769644</v>
      </c>
      <c r="Q35" s="34">
        <v>326701931.9333021</v>
      </c>
      <c r="R35" s="34">
        <v>349864921.45547509</v>
      </c>
      <c r="S35" s="34">
        <v>350348639.16946042</v>
      </c>
      <c r="T35" s="34">
        <v>357644083.56854832</v>
      </c>
      <c r="U35" s="34">
        <v>341710499.30581874</v>
      </c>
    </row>
    <row r="36" spans="4:21" x14ac:dyDescent="0.25">
      <c r="D36">
        <v>13</v>
      </c>
      <c r="E36">
        <v>0.30390427674668968</v>
      </c>
      <c r="J36" s="6">
        <f t="shared" si="18"/>
        <v>0.41000000000000014</v>
      </c>
      <c r="K36" s="7">
        <v>0.42023358004823191</v>
      </c>
      <c r="L36" s="34">
        <v>381755141.58222246</v>
      </c>
      <c r="N36" s="6">
        <f t="shared" si="19"/>
        <v>0.41000000000000014</v>
      </c>
      <c r="O36" s="34">
        <v>365009108.56884795</v>
      </c>
      <c r="P36" s="34">
        <v>346154426.14052284</v>
      </c>
      <c r="Q36" s="34">
        <v>396694339.8706975</v>
      </c>
      <c r="R36" s="34">
        <v>410186271.23225003</v>
      </c>
      <c r="S36" s="34">
        <v>394728292.59791857</v>
      </c>
      <c r="T36" s="34">
        <v>400476725.15711492</v>
      </c>
      <c r="U36" s="34">
        <v>379655591.4294101</v>
      </c>
    </row>
    <row r="37" spans="4:21" x14ac:dyDescent="0.25">
      <c r="D37">
        <v>14</v>
      </c>
      <c r="E37">
        <v>0.29179042027266056</v>
      </c>
      <c r="J37" s="6">
        <f t="shared" si="18"/>
        <v>0.44000000000000017</v>
      </c>
      <c r="K37" s="7">
        <v>0.46303520341918553</v>
      </c>
      <c r="L37" s="34">
        <v>445429116.65774876</v>
      </c>
      <c r="N37" s="6">
        <f t="shared" si="19"/>
        <v>0.44000000000000017</v>
      </c>
      <c r="O37" s="34">
        <v>391617008.46340793</v>
      </c>
      <c r="P37" s="34">
        <v>416861858.76946318</v>
      </c>
      <c r="Q37" s="34">
        <v>427203644.82230115</v>
      </c>
      <c r="R37" s="34">
        <v>454597737.20916587</v>
      </c>
      <c r="S37" s="34">
        <v>394751701.14779574</v>
      </c>
      <c r="T37" s="34">
        <v>464987603.55297428</v>
      </c>
      <c r="U37" s="34">
        <v>451992215.63023704</v>
      </c>
    </row>
    <row r="38" spans="4:21" x14ac:dyDescent="0.25">
      <c r="D38">
        <v>15</v>
      </c>
      <c r="E38">
        <v>0.29413978342453734</v>
      </c>
      <c r="J38" s="6">
        <f t="shared" si="18"/>
        <v>0.4700000000000002</v>
      </c>
      <c r="K38" s="7">
        <v>0.47635732011361082</v>
      </c>
      <c r="L38" s="34">
        <v>504513632.88191122</v>
      </c>
      <c r="N38" s="6">
        <f t="shared" si="19"/>
        <v>0.4700000000000002</v>
      </c>
      <c r="O38" s="34">
        <v>455618287.65344191</v>
      </c>
      <c r="P38" s="34">
        <v>482711205.40509754</v>
      </c>
      <c r="Q38" s="34">
        <v>485413973.25274557</v>
      </c>
      <c r="R38" s="34">
        <v>498980802.49743539</v>
      </c>
      <c r="S38" s="34">
        <v>508905566.25035417</v>
      </c>
      <c r="T38" s="34">
        <v>498759898.8637569</v>
      </c>
      <c r="U38" s="34">
        <v>526910716.07832515</v>
      </c>
    </row>
    <row r="39" spans="4:21" x14ac:dyDescent="0.25">
      <c r="D39">
        <v>16</v>
      </c>
      <c r="E39">
        <v>0.30733302070482849</v>
      </c>
      <c r="J39" s="6">
        <f t="shared" si="18"/>
        <v>0.50000000000000022</v>
      </c>
      <c r="K39" s="7">
        <v>0.52432931053182363</v>
      </c>
      <c r="L39" s="34">
        <v>573958128.43228197</v>
      </c>
      <c r="N39" s="6">
        <f t="shared" si="19"/>
        <v>0.50000000000000022</v>
      </c>
      <c r="O39" s="34">
        <v>518828552.53538722</v>
      </c>
      <c r="P39" s="34">
        <v>518248406.84584039</v>
      </c>
      <c r="Q39" s="34">
        <v>520044022.26565522</v>
      </c>
      <c r="R39" s="34">
        <v>567750915.16897273</v>
      </c>
      <c r="S39" s="34">
        <v>576188169.69797361</v>
      </c>
      <c r="T39" s="34">
        <v>573897084.68961465</v>
      </c>
      <c r="U39" s="34">
        <v>600541604.37684798</v>
      </c>
    </row>
    <row r="40" spans="4:21" x14ac:dyDescent="0.25">
      <c r="D40">
        <v>17</v>
      </c>
      <c r="E40">
        <v>0.28723986469593604</v>
      </c>
    </row>
    <row r="41" spans="4:21" x14ac:dyDescent="0.25">
      <c r="D41">
        <v>18</v>
      </c>
      <c r="E41">
        <v>0.28921656165669291</v>
      </c>
    </row>
    <row r="42" spans="4:21" x14ac:dyDescent="0.25">
      <c r="D42">
        <v>19</v>
      </c>
      <c r="E42">
        <v>0.30622484608620731</v>
      </c>
    </row>
    <row r="43" spans="4:21" x14ac:dyDescent="0.25">
      <c r="D43">
        <v>20</v>
      </c>
      <c r="E43">
        <v>0.31585468404107331</v>
      </c>
    </row>
    <row r="44" spans="4:21" x14ac:dyDescent="0.25">
      <c r="D44">
        <v>21</v>
      </c>
      <c r="E44">
        <v>0.32651196120775289</v>
      </c>
    </row>
    <row r="45" spans="4:21" x14ac:dyDescent="0.25">
      <c r="D45">
        <v>22</v>
      </c>
      <c r="E45">
        <v>0.30121774058878786</v>
      </c>
    </row>
    <row r="46" spans="4:21" x14ac:dyDescent="0.25">
      <c r="D46">
        <v>23</v>
      </c>
      <c r="E46">
        <v>0.3247097322991741</v>
      </c>
    </row>
    <row r="47" spans="4:21" x14ac:dyDescent="0.25">
      <c r="D47">
        <v>24</v>
      </c>
      <c r="E47">
        <v>0.28074251423767954</v>
      </c>
    </row>
    <row r="48" spans="4:21" x14ac:dyDescent="0.25">
      <c r="D48">
        <v>25</v>
      </c>
      <c r="E48">
        <v>0.2964154288268655</v>
      </c>
    </row>
    <row r="49" spans="4:5" x14ac:dyDescent="0.25">
      <c r="D49">
        <v>26</v>
      </c>
      <c r="E49">
        <v>0.31283328813180566</v>
      </c>
    </row>
    <row r="50" spans="4:5" x14ac:dyDescent="0.25">
      <c r="D50">
        <v>27</v>
      </c>
      <c r="E50">
        <v>0.28488988771722801</v>
      </c>
    </row>
    <row r="51" spans="4:5" x14ac:dyDescent="0.25">
      <c r="D51">
        <v>28</v>
      </c>
      <c r="E51">
        <v>0.33607998117054727</v>
      </c>
    </row>
    <row r="52" spans="4:5" x14ac:dyDescent="0.25">
      <c r="D52">
        <v>29</v>
      </c>
      <c r="E52">
        <v>0.28193529524066935</v>
      </c>
    </row>
    <row r="53" spans="4:5" x14ac:dyDescent="0.25">
      <c r="D53">
        <v>30</v>
      </c>
      <c r="E53">
        <v>0.31959243470239856</v>
      </c>
    </row>
    <row r="54" spans="4:5" x14ac:dyDescent="0.25">
      <c r="D54">
        <v>31</v>
      </c>
      <c r="E54">
        <v>0.28627506078551929</v>
      </c>
    </row>
    <row r="55" spans="4:5" x14ac:dyDescent="0.25">
      <c r="D55">
        <v>32</v>
      </c>
      <c r="E55">
        <v>0.2979534777061551</v>
      </c>
    </row>
    <row r="56" spans="4:5" x14ac:dyDescent="0.25">
      <c r="D56">
        <v>33</v>
      </c>
      <c r="E56">
        <v>0.26652964322513961</v>
      </c>
    </row>
    <row r="57" spans="4:5" x14ac:dyDescent="0.25">
      <c r="D57">
        <v>34</v>
      </c>
      <c r="E57">
        <v>0.31731077114104816</v>
      </c>
    </row>
    <row r="58" spans="4:5" x14ac:dyDescent="0.25">
      <c r="D58">
        <v>35</v>
      </c>
      <c r="E58">
        <v>0.29821739512384016</v>
      </c>
    </row>
    <row r="59" spans="4:5" x14ac:dyDescent="0.25">
      <c r="D59">
        <v>36</v>
      </c>
      <c r="E59">
        <v>0.28904941960177349</v>
      </c>
    </row>
    <row r="60" spans="4:5" x14ac:dyDescent="0.25">
      <c r="D60">
        <v>37</v>
      </c>
      <c r="E60">
        <v>0.31307531686379186</v>
      </c>
    </row>
    <row r="61" spans="4:5" x14ac:dyDescent="0.25">
      <c r="D61">
        <v>38</v>
      </c>
      <c r="E61">
        <v>0.29269522964533534</v>
      </c>
    </row>
    <row r="62" spans="4:5" x14ac:dyDescent="0.25">
      <c r="D62">
        <v>39</v>
      </c>
      <c r="E62">
        <v>0.29390860124103618</v>
      </c>
    </row>
    <row r="63" spans="4:5" x14ac:dyDescent="0.25">
      <c r="D63">
        <v>40</v>
      </c>
      <c r="E63">
        <v>0.26748704495879266</v>
      </c>
    </row>
    <row r="64" spans="4:5" x14ac:dyDescent="0.25">
      <c r="D64">
        <v>41</v>
      </c>
      <c r="E64">
        <v>0.34139631105583457</v>
      </c>
    </row>
    <row r="65" spans="4:5" x14ac:dyDescent="0.25">
      <c r="D65">
        <v>42</v>
      </c>
      <c r="E65">
        <v>0.26998368393671868</v>
      </c>
    </row>
    <row r="66" spans="4:5" x14ac:dyDescent="0.25">
      <c r="D66">
        <v>43</v>
      </c>
      <c r="E66">
        <v>0.29606315543744738</v>
      </c>
    </row>
    <row r="67" spans="4:5" x14ac:dyDescent="0.25">
      <c r="D67">
        <v>44</v>
      </c>
      <c r="E67">
        <v>0.32561728354953196</v>
      </c>
    </row>
    <row r="68" spans="4:5" x14ac:dyDescent="0.25">
      <c r="D68">
        <v>45</v>
      </c>
      <c r="E68">
        <v>0.30080471832334493</v>
      </c>
    </row>
    <row r="69" spans="4:5" x14ac:dyDescent="0.25">
      <c r="D69">
        <v>46</v>
      </c>
      <c r="E69">
        <v>0.2926337629611146</v>
      </c>
    </row>
    <row r="70" spans="4:5" x14ac:dyDescent="0.25">
      <c r="D70">
        <v>47</v>
      </c>
      <c r="E70">
        <v>0.28705301359321067</v>
      </c>
    </row>
    <row r="71" spans="4:5" x14ac:dyDescent="0.25">
      <c r="D71">
        <v>48</v>
      </c>
      <c r="E71">
        <v>0.30566545822093749</v>
      </c>
    </row>
    <row r="72" spans="4:5" x14ac:dyDescent="0.25">
      <c r="D72">
        <v>49</v>
      </c>
      <c r="E72">
        <v>0.27407686507826623</v>
      </c>
    </row>
    <row r="73" spans="4:5" x14ac:dyDescent="0.25">
      <c r="D73">
        <v>50</v>
      </c>
      <c r="E73">
        <v>0.33496671052867483</v>
      </c>
    </row>
    <row r="74" spans="4:5" x14ac:dyDescent="0.25">
      <c r="D74">
        <v>51</v>
      </c>
      <c r="E74">
        <v>0.30431459149125878</v>
      </c>
    </row>
    <row r="75" spans="4:5" x14ac:dyDescent="0.25">
      <c r="D75">
        <v>52</v>
      </c>
      <c r="E75">
        <v>0.30159842785391966</v>
      </c>
    </row>
    <row r="76" spans="4:5" x14ac:dyDescent="0.25">
      <c r="D76">
        <v>53</v>
      </c>
      <c r="E76">
        <v>0.30326328220323595</v>
      </c>
    </row>
    <row r="77" spans="4:5" x14ac:dyDescent="0.25">
      <c r="D77">
        <v>54</v>
      </c>
      <c r="E77">
        <v>0.27733679445801196</v>
      </c>
    </row>
    <row r="78" spans="4:5" x14ac:dyDescent="0.25">
      <c r="D78">
        <v>55</v>
      </c>
      <c r="E78">
        <v>0.27880787745560576</v>
      </c>
    </row>
    <row r="79" spans="4:5" x14ac:dyDescent="0.25">
      <c r="D79">
        <v>56</v>
      </c>
      <c r="E79">
        <v>0.2821909404115156</v>
      </c>
    </row>
    <row r="80" spans="4:5" x14ac:dyDescent="0.25">
      <c r="D80">
        <v>57</v>
      </c>
      <c r="E80">
        <v>0.30433581465340398</v>
      </c>
    </row>
    <row r="81" spans="4:5" x14ac:dyDescent="0.25">
      <c r="D81">
        <v>58</v>
      </c>
      <c r="E81">
        <v>0.3028041928860507</v>
      </c>
    </row>
    <row r="82" spans="4:5" x14ac:dyDescent="0.25">
      <c r="D82">
        <v>59</v>
      </c>
      <c r="E82">
        <v>0.31414812287995608</v>
      </c>
    </row>
    <row r="83" spans="4:5" x14ac:dyDescent="0.25">
      <c r="D83">
        <v>60</v>
      </c>
      <c r="E83">
        <v>0.26804369309120335</v>
      </c>
    </row>
    <row r="84" spans="4:5" x14ac:dyDescent="0.25">
      <c r="D84">
        <v>61</v>
      </c>
      <c r="E84">
        <v>0.30356884705978071</v>
      </c>
    </row>
    <row r="85" spans="4:5" x14ac:dyDescent="0.25">
      <c r="D85">
        <v>62</v>
      </c>
      <c r="E85">
        <v>0.30712747607109075</v>
      </c>
    </row>
    <row r="86" spans="4:5" x14ac:dyDescent="0.25">
      <c r="D86">
        <v>63</v>
      </c>
      <c r="E86">
        <v>0.30280347522880785</v>
      </c>
    </row>
    <row r="87" spans="4:5" x14ac:dyDescent="0.25">
      <c r="D87">
        <v>64</v>
      </c>
      <c r="E87">
        <v>0.30754131226847553</v>
      </c>
    </row>
    <row r="88" spans="4:5" x14ac:dyDescent="0.25">
      <c r="D88">
        <v>65</v>
      </c>
      <c r="E88">
        <v>0.28592100023479161</v>
      </c>
    </row>
    <row r="89" spans="4:5" x14ac:dyDescent="0.25">
      <c r="D89">
        <v>66</v>
      </c>
      <c r="E89">
        <v>0.29217520533547642</v>
      </c>
    </row>
    <row r="90" spans="4:5" x14ac:dyDescent="0.25">
      <c r="D90">
        <v>67</v>
      </c>
      <c r="E90">
        <v>0.30952703333503484</v>
      </c>
    </row>
    <row r="91" spans="4:5" x14ac:dyDescent="0.25">
      <c r="D91">
        <v>68</v>
      </c>
      <c r="E91">
        <v>0.27565808589454072</v>
      </c>
    </row>
    <row r="92" spans="4:5" x14ac:dyDescent="0.25">
      <c r="D92">
        <v>69</v>
      </c>
      <c r="E92">
        <v>0.31332115092763357</v>
      </c>
    </row>
    <row r="93" spans="4:5" x14ac:dyDescent="0.25">
      <c r="D93">
        <v>70</v>
      </c>
      <c r="E93">
        <v>0.31096409903758071</v>
      </c>
    </row>
    <row r="94" spans="4:5" x14ac:dyDescent="0.25">
      <c r="D94">
        <v>71</v>
      </c>
      <c r="E94">
        <v>0.31276341295100368</v>
      </c>
    </row>
    <row r="95" spans="4:5" x14ac:dyDescent="0.25">
      <c r="D95">
        <v>72</v>
      </c>
      <c r="E95">
        <v>0.31075566934469173</v>
      </c>
    </row>
    <row r="96" spans="4:5" x14ac:dyDescent="0.25">
      <c r="D96">
        <v>73</v>
      </c>
      <c r="E96">
        <v>0.30202403111033671</v>
      </c>
    </row>
    <row r="97" spans="4:5" x14ac:dyDescent="0.25">
      <c r="D97">
        <v>74</v>
      </c>
      <c r="E97">
        <v>0.29799191578133655</v>
      </c>
    </row>
    <row r="98" spans="4:5" x14ac:dyDescent="0.25">
      <c r="D98">
        <v>75</v>
      </c>
      <c r="E98">
        <v>0.2734211223349079</v>
      </c>
    </row>
    <row r="99" spans="4:5" x14ac:dyDescent="0.25">
      <c r="D99">
        <v>76</v>
      </c>
      <c r="E99">
        <v>0.32291830766219914</v>
      </c>
    </row>
    <row r="100" spans="4:5" x14ac:dyDescent="0.25">
      <c r="D100">
        <v>77</v>
      </c>
      <c r="E100">
        <v>0.28371700143118389</v>
      </c>
    </row>
    <row r="101" spans="4:5" x14ac:dyDescent="0.25">
      <c r="D101">
        <v>78</v>
      </c>
      <c r="E101">
        <v>0.3146533137303627</v>
      </c>
    </row>
    <row r="102" spans="4:5" x14ac:dyDescent="0.25">
      <c r="D102">
        <v>79</v>
      </c>
      <c r="E102">
        <v>0.32790904440668606</v>
      </c>
    </row>
    <row r="103" spans="4:5" x14ac:dyDescent="0.25">
      <c r="D103">
        <v>80</v>
      </c>
      <c r="E103">
        <v>0.30914991259714908</v>
      </c>
    </row>
    <row r="104" spans="4:5" x14ac:dyDescent="0.25">
      <c r="D104">
        <v>81</v>
      </c>
      <c r="E104">
        <v>0.30224024395365029</v>
      </c>
    </row>
    <row r="105" spans="4:5" x14ac:dyDescent="0.25">
      <c r="D105">
        <v>82</v>
      </c>
      <c r="E105">
        <v>0.30609316939402909</v>
      </c>
    </row>
    <row r="106" spans="4:5" x14ac:dyDescent="0.25">
      <c r="D106">
        <v>83</v>
      </c>
      <c r="E106">
        <v>0.3243092417803311</v>
      </c>
    </row>
    <row r="107" spans="4:5" x14ac:dyDescent="0.25">
      <c r="D107">
        <v>84</v>
      </c>
      <c r="E107">
        <v>0.28375533266690106</v>
      </c>
    </row>
    <row r="108" spans="4:5" x14ac:dyDescent="0.25">
      <c r="D108">
        <v>85</v>
      </c>
      <c r="E108">
        <v>0.30816689138782805</v>
      </c>
    </row>
    <row r="109" spans="4:5" x14ac:dyDescent="0.25">
      <c r="D109">
        <v>86</v>
      </c>
      <c r="E109">
        <v>0.31771826946854714</v>
      </c>
    </row>
    <row r="110" spans="4:5" x14ac:dyDescent="0.25">
      <c r="D110">
        <v>87</v>
      </c>
      <c r="E110">
        <v>0.28236012937928379</v>
      </c>
    </row>
    <row r="111" spans="4:5" x14ac:dyDescent="0.25">
      <c r="D111">
        <v>88</v>
      </c>
      <c r="E111">
        <v>0.29678469614354402</v>
      </c>
    </row>
    <row r="112" spans="4:5" x14ac:dyDescent="0.25">
      <c r="D112">
        <v>89</v>
      </c>
      <c r="E112">
        <v>0.28184482007235928</v>
      </c>
    </row>
    <row r="113" spans="4:5" x14ac:dyDescent="0.25">
      <c r="D113">
        <v>90</v>
      </c>
      <c r="E113">
        <v>0.32394582820672746</v>
      </c>
    </row>
    <row r="114" spans="4:5" x14ac:dyDescent="0.25">
      <c r="D114">
        <v>91</v>
      </c>
      <c r="E114">
        <v>0.30180461076932041</v>
      </c>
    </row>
    <row r="115" spans="4:5" x14ac:dyDescent="0.25">
      <c r="D115">
        <v>92</v>
      </c>
      <c r="E115">
        <v>0.29050103288384294</v>
      </c>
    </row>
    <row r="116" spans="4:5" x14ac:dyDescent="0.25">
      <c r="D116">
        <v>93</v>
      </c>
      <c r="E116">
        <v>0.2942755485218066</v>
      </c>
    </row>
    <row r="117" spans="4:5" x14ac:dyDescent="0.25">
      <c r="D117">
        <v>94</v>
      </c>
      <c r="E117">
        <v>0.32263375325400612</v>
      </c>
    </row>
    <row r="118" spans="4:5" x14ac:dyDescent="0.25">
      <c r="D118">
        <v>95</v>
      </c>
      <c r="E118">
        <v>0.32240847839577846</v>
      </c>
    </row>
    <row r="119" spans="4:5" x14ac:dyDescent="0.25">
      <c r="D119">
        <v>96</v>
      </c>
      <c r="E119">
        <v>0.30215785487798613</v>
      </c>
    </row>
    <row r="120" spans="4:5" x14ac:dyDescent="0.25">
      <c r="D120">
        <v>97</v>
      </c>
      <c r="E120">
        <v>0.2848072437265356</v>
      </c>
    </row>
    <row r="121" spans="4:5" x14ac:dyDescent="0.25">
      <c r="D121">
        <v>98</v>
      </c>
      <c r="E121">
        <v>0.30485127077865842</v>
      </c>
    </row>
    <row r="122" spans="4:5" x14ac:dyDescent="0.25">
      <c r="D122">
        <v>99</v>
      </c>
      <c r="E122">
        <v>0.2875773749729994</v>
      </c>
    </row>
    <row r="123" spans="4:5" x14ac:dyDescent="0.25">
      <c r="D123">
        <v>100</v>
      </c>
      <c r="E123">
        <v>0.29318186920212363</v>
      </c>
    </row>
    <row r="124" spans="4:5" x14ac:dyDescent="0.25">
      <c r="D124">
        <v>101</v>
      </c>
      <c r="E124">
        <v>0.2967968003877689</v>
      </c>
    </row>
    <row r="125" spans="4:5" x14ac:dyDescent="0.25">
      <c r="D125">
        <v>102</v>
      </c>
      <c r="E125">
        <v>0.31214336273389942</v>
      </c>
    </row>
    <row r="126" spans="4:5" x14ac:dyDescent="0.25">
      <c r="D126">
        <v>103</v>
      </c>
      <c r="E126">
        <v>0.33621167498073418</v>
      </c>
    </row>
    <row r="127" spans="4:5" x14ac:dyDescent="0.25">
      <c r="D127">
        <v>104</v>
      </c>
      <c r="E127">
        <v>0.28619159402950867</v>
      </c>
    </row>
    <row r="128" spans="4:5" x14ac:dyDescent="0.25">
      <c r="D128">
        <v>105</v>
      </c>
      <c r="E128">
        <v>0.29326884408615489</v>
      </c>
    </row>
    <row r="129" spans="4:5" x14ac:dyDescent="0.25">
      <c r="D129">
        <v>106</v>
      </c>
      <c r="E129">
        <v>0.3125091958429036</v>
      </c>
    </row>
    <row r="130" spans="4:5" x14ac:dyDescent="0.25">
      <c r="D130">
        <v>107</v>
      </c>
      <c r="E130">
        <v>0.31026276632474459</v>
      </c>
    </row>
    <row r="131" spans="4:5" x14ac:dyDescent="0.25">
      <c r="D131">
        <v>108</v>
      </c>
      <c r="E131">
        <v>0.29418962162555579</v>
      </c>
    </row>
    <row r="132" spans="4:5" x14ac:dyDescent="0.25">
      <c r="D132">
        <v>109</v>
      </c>
      <c r="E132">
        <v>0.28671276730441153</v>
      </c>
    </row>
    <row r="133" spans="4:5" x14ac:dyDescent="0.25">
      <c r="D133">
        <v>110</v>
      </c>
      <c r="E133">
        <v>0.30265550020354592</v>
      </c>
    </row>
    <row r="134" spans="4:5" x14ac:dyDescent="0.25">
      <c r="D134">
        <v>111</v>
      </c>
      <c r="E134">
        <v>0.30931877564560256</v>
      </c>
    </row>
    <row r="135" spans="4:5" x14ac:dyDescent="0.25">
      <c r="D135">
        <v>112</v>
      </c>
      <c r="E135">
        <v>0.29780735925232854</v>
      </c>
    </row>
    <row r="136" spans="4:5" x14ac:dyDescent="0.25">
      <c r="D136">
        <v>113</v>
      </c>
      <c r="E136">
        <v>0.29136870017345495</v>
      </c>
    </row>
    <row r="137" spans="4:5" x14ac:dyDescent="0.25">
      <c r="D137">
        <v>114</v>
      </c>
      <c r="E137">
        <v>0.26385498034155058</v>
      </c>
    </row>
    <row r="138" spans="4:5" x14ac:dyDescent="0.25">
      <c r="D138">
        <v>115</v>
      </c>
      <c r="E138">
        <v>0.29957644517735627</v>
      </c>
    </row>
    <row r="139" spans="4:5" x14ac:dyDescent="0.25">
      <c r="D139">
        <v>116</v>
      </c>
      <c r="E139">
        <v>0.32086572292664828</v>
      </c>
    </row>
    <row r="140" spans="4:5" x14ac:dyDescent="0.25">
      <c r="D140">
        <v>117</v>
      </c>
      <c r="E140">
        <v>0.277284094617331</v>
      </c>
    </row>
    <row r="141" spans="4:5" x14ac:dyDescent="0.25">
      <c r="D141">
        <v>118</v>
      </c>
      <c r="E141">
        <v>0.28918565517237743</v>
      </c>
    </row>
    <row r="142" spans="4:5" x14ac:dyDescent="0.25">
      <c r="D142">
        <v>119</v>
      </c>
      <c r="E142">
        <v>0.29356307414965099</v>
      </c>
    </row>
    <row r="143" spans="4:5" x14ac:dyDescent="0.25">
      <c r="D143">
        <v>120</v>
      </c>
      <c r="E143">
        <v>0.28372102546884231</v>
      </c>
    </row>
    <row r="144" spans="4:5" x14ac:dyDescent="0.25">
      <c r="D144">
        <v>121</v>
      </c>
      <c r="E144">
        <v>0.30377160848096818</v>
      </c>
    </row>
    <row r="145" spans="4:5" x14ac:dyDescent="0.25">
      <c r="D145">
        <v>122</v>
      </c>
      <c r="E145">
        <v>0.30494284295737001</v>
      </c>
    </row>
    <row r="146" spans="4:5" x14ac:dyDescent="0.25">
      <c r="D146">
        <v>123</v>
      </c>
      <c r="E146">
        <v>0.3075103590324984</v>
      </c>
    </row>
    <row r="147" spans="4:5" x14ac:dyDescent="0.25">
      <c r="D147">
        <v>124</v>
      </c>
      <c r="E147">
        <v>0.29558956798404168</v>
      </c>
    </row>
    <row r="148" spans="4:5" x14ac:dyDescent="0.25">
      <c r="D148">
        <v>125</v>
      </c>
      <c r="E148">
        <v>0.31785194347553614</v>
      </c>
    </row>
    <row r="149" spans="4:5" x14ac:dyDescent="0.25">
      <c r="D149">
        <v>126</v>
      </c>
      <c r="E149">
        <v>0.30873234546115802</v>
      </c>
    </row>
    <row r="150" spans="4:5" x14ac:dyDescent="0.25">
      <c r="D150">
        <v>127</v>
      </c>
      <c r="E150">
        <v>0.29517475618593847</v>
      </c>
    </row>
    <row r="151" spans="4:5" x14ac:dyDescent="0.25">
      <c r="D151">
        <v>128</v>
      </c>
      <c r="E151">
        <v>0.31312676409613138</v>
      </c>
    </row>
    <row r="152" spans="4:5" x14ac:dyDescent="0.25">
      <c r="D152">
        <v>129</v>
      </c>
      <c r="E152">
        <v>0.28708606798236602</v>
      </c>
    </row>
    <row r="153" spans="4:5" x14ac:dyDescent="0.25">
      <c r="D153">
        <v>130</v>
      </c>
      <c r="E153">
        <v>0.28596283894284025</v>
      </c>
    </row>
    <row r="154" spans="4:5" x14ac:dyDescent="0.25">
      <c r="D154">
        <v>131</v>
      </c>
      <c r="E154">
        <v>0.31115567151188395</v>
      </c>
    </row>
    <row r="155" spans="4:5" x14ac:dyDescent="0.25">
      <c r="D155">
        <v>132</v>
      </c>
      <c r="E155">
        <v>0.29713848961395184</v>
      </c>
    </row>
    <row r="156" spans="4:5" x14ac:dyDescent="0.25">
      <c r="D156">
        <v>133</v>
      </c>
      <c r="E156">
        <v>0.32267400050642403</v>
      </c>
    </row>
    <row r="157" spans="4:5" x14ac:dyDescent="0.25">
      <c r="D157">
        <v>134</v>
      </c>
      <c r="E157">
        <v>0.29586181801378875</v>
      </c>
    </row>
    <row r="158" spans="4:5" x14ac:dyDescent="0.25">
      <c r="D158">
        <v>135</v>
      </c>
      <c r="E158">
        <v>0.29285480133829711</v>
      </c>
    </row>
    <row r="159" spans="4:5" x14ac:dyDescent="0.25">
      <c r="D159">
        <v>136</v>
      </c>
      <c r="E159">
        <v>0.27925608748011921</v>
      </c>
    </row>
    <row r="160" spans="4:5" x14ac:dyDescent="0.25">
      <c r="D160">
        <v>137</v>
      </c>
      <c r="E160">
        <v>0.30790971720147969</v>
      </c>
    </row>
    <row r="161" spans="4:5" x14ac:dyDescent="0.25">
      <c r="D161">
        <v>138</v>
      </c>
      <c r="E161">
        <v>0.28589935802700156</v>
      </c>
    </row>
    <row r="162" spans="4:5" x14ac:dyDescent="0.25">
      <c r="D162">
        <v>139</v>
      </c>
      <c r="E162">
        <v>0.29277496703502248</v>
      </c>
    </row>
    <row r="163" spans="4:5" x14ac:dyDescent="0.25">
      <c r="D163">
        <v>140</v>
      </c>
      <c r="E163">
        <v>0.32897722391725293</v>
      </c>
    </row>
    <row r="164" spans="4:5" x14ac:dyDescent="0.25">
      <c r="D164">
        <v>141</v>
      </c>
      <c r="E164">
        <v>0.26904074109419973</v>
      </c>
    </row>
    <row r="165" spans="4:5" x14ac:dyDescent="0.25">
      <c r="D165">
        <v>142</v>
      </c>
      <c r="E165">
        <v>0.30827502923421513</v>
      </c>
    </row>
    <row r="166" spans="4:5" x14ac:dyDescent="0.25">
      <c r="D166">
        <v>143</v>
      </c>
      <c r="E166">
        <v>0.26803594261942026</v>
      </c>
    </row>
    <row r="167" spans="4:5" x14ac:dyDescent="0.25">
      <c r="D167">
        <v>144</v>
      </c>
      <c r="E167">
        <v>0.31684980125779005</v>
      </c>
    </row>
    <row r="168" spans="4:5" x14ac:dyDescent="0.25">
      <c r="D168">
        <v>145</v>
      </c>
      <c r="E168">
        <v>0.3174802751524185</v>
      </c>
    </row>
    <row r="169" spans="4:5" x14ac:dyDescent="0.25">
      <c r="D169">
        <v>146</v>
      </c>
      <c r="E169">
        <v>0.2913240748719978</v>
      </c>
    </row>
    <row r="170" spans="4:5" x14ac:dyDescent="0.25">
      <c r="D170">
        <v>147</v>
      </c>
      <c r="E170">
        <v>0.30425133298618506</v>
      </c>
    </row>
    <row r="171" spans="4:5" x14ac:dyDescent="0.25">
      <c r="D171">
        <v>148</v>
      </c>
      <c r="E171">
        <v>0.28990108966230915</v>
      </c>
    </row>
    <row r="172" spans="4:5" x14ac:dyDescent="0.25">
      <c r="D172">
        <v>149</v>
      </c>
      <c r="E172">
        <v>0.30844539136769361</v>
      </c>
    </row>
    <row r="173" spans="4:5" x14ac:dyDescent="0.25">
      <c r="D173">
        <v>150</v>
      </c>
      <c r="E173">
        <v>0.29455336614715427</v>
      </c>
    </row>
    <row r="174" spans="4:5" x14ac:dyDescent="0.25">
      <c r="D174">
        <v>151</v>
      </c>
      <c r="E174">
        <v>0.32290731594105954</v>
      </c>
    </row>
    <row r="175" spans="4:5" x14ac:dyDescent="0.25">
      <c r="D175">
        <v>152</v>
      </c>
      <c r="E175">
        <v>0.32314043447255797</v>
      </c>
    </row>
    <row r="176" spans="4:5" x14ac:dyDescent="0.25">
      <c r="D176">
        <v>153</v>
      </c>
      <c r="E176">
        <v>0.29009364381643599</v>
      </c>
    </row>
    <row r="177" spans="4:5" x14ac:dyDescent="0.25">
      <c r="D177">
        <v>154</v>
      </c>
      <c r="E177">
        <v>0.27563668722474538</v>
      </c>
    </row>
    <row r="178" spans="4:5" x14ac:dyDescent="0.25">
      <c r="D178">
        <v>155</v>
      </c>
      <c r="E178">
        <v>0.30669314222198435</v>
      </c>
    </row>
    <row r="179" spans="4:5" x14ac:dyDescent="0.25">
      <c r="D179">
        <v>156</v>
      </c>
      <c r="E179">
        <v>0.27123925711824143</v>
      </c>
    </row>
    <row r="180" spans="4:5" x14ac:dyDescent="0.25">
      <c r="D180">
        <v>157</v>
      </c>
      <c r="E180">
        <v>0.30827551883225729</v>
      </c>
    </row>
    <row r="181" spans="4:5" x14ac:dyDescent="0.25">
      <c r="D181">
        <v>158</v>
      </c>
      <c r="E181">
        <v>0.27622391636237309</v>
      </c>
    </row>
    <row r="182" spans="4:5" x14ac:dyDescent="0.25">
      <c r="D182">
        <v>159</v>
      </c>
      <c r="E182">
        <v>0.27685474173428254</v>
      </c>
    </row>
    <row r="183" spans="4:5" x14ac:dyDescent="0.25">
      <c r="D183">
        <v>160</v>
      </c>
      <c r="E183">
        <v>0.25510578047640436</v>
      </c>
    </row>
    <row r="184" spans="4:5" x14ac:dyDescent="0.25">
      <c r="D184">
        <v>161</v>
      </c>
      <c r="E184">
        <v>0.30871618483487734</v>
      </c>
    </row>
    <row r="185" spans="4:5" x14ac:dyDescent="0.25">
      <c r="D185">
        <v>162</v>
      </c>
      <c r="E185">
        <v>0.3192085438998829</v>
      </c>
    </row>
    <row r="186" spans="4:5" x14ac:dyDescent="0.25">
      <c r="D186">
        <v>163</v>
      </c>
      <c r="E186">
        <v>0.30305752932073682</v>
      </c>
    </row>
    <row r="187" spans="4:5" x14ac:dyDescent="0.25">
      <c r="D187">
        <v>164</v>
      </c>
      <c r="E187">
        <v>0.27918610307445146</v>
      </c>
    </row>
    <row r="188" spans="4:5" x14ac:dyDescent="0.25">
      <c r="D188">
        <v>165</v>
      </c>
      <c r="E188">
        <v>0.27828139896105414</v>
      </c>
    </row>
    <row r="189" spans="4:5" x14ac:dyDescent="0.25">
      <c r="D189">
        <v>166</v>
      </c>
      <c r="E189">
        <v>0.29784736733290795</v>
      </c>
    </row>
    <row r="190" spans="4:5" x14ac:dyDescent="0.25">
      <c r="D190">
        <v>167</v>
      </c>
      <c r="E190">
        <v>0.30800018610871244</v>
      </c>
    </row>
    <row r="191" spans="4:5" x14ac:dyDescent="0.25">
      <c r="D191">
        <v>168</v>
      </c>
      <c r="E191">
        <v>0.288495487618045</v>
      </c>
    </row>
    <row r="192" spans="4:5" x14ac:dyDescent="0.25">
      <c r="D192">
        <v>169</v>
      </c>
      <c r="E192">
        <v>0.30331197177967945</v>
      </c>
    </row>
    <row r="193" spans="4:5" x14ac:dyDescent="0.25">
      <c r="D193">
        <v>170</v>
      </c>
      <c r="E193">
        <v>0.28340656011099519</v>
      </c>
    </row>
    <row r="194" spans="4:5" x14ac:dyDescent="0.25">
      <c r="D194">
        <v>171</v>
      </c>
      <c r="E194">
        <v>0.29973889596878245</v>
      </c>
    </row>
    <row r="195" spans="4:5" x14ac:dyDescent="0.25">
      <c r="D195">
        <v>172</v>
      </c>
      <c r="E195">
        <v>0.27887258114438529</v>
      </c>
    </row>
    <row r="196" spans="4:5" x14ac:dyDescent="0.25">
      <c r="D196">
        <v>173</v>
      </c>
      <c r="E196">
        <v>0.28638804398085599</v>
      </c>
    </row>
    <row r="197" spans="4:5" x14ac:dyDescent="0.25">
      <c r="D197">
        <v>174</v>
      </c>
      <c r="E197">
        <v>0.29030477459238269</v>
      </c>
    </row>
    <row r="198" spans="4:5" x14ac:dyDescent="0.25">
      <c r="D198">
        <v>175</v>
      </c>
      <c r="E198">
        <v>0.3002390911928246</v>
      </c>
    </row>
    <row r="199" spans="4:5" x14ac:dyDescent="0.25">
      <c r="D199">
        <v>176</v>
      </c>
      <c r="E199">
        <v>0.33285078544025565</v>
      </c>
    </row>
    <row r="200" spans="4:5" x14ac:dyDescent="0.25">
      <c r="D200">
        <v>177</v>
      </c>
      <c r="E200">
        <v>0.31047824854537831</v>
      </c>
    </row>
    <row r="201" spans="4:5" x14ac:dyDescent="0.25">
      <c r="D201">
        <v>178</v>
      </c>
      <c r="E201">
        <v>0.28649532451611409</v>
      </c>
    </row>
    <row r="202" spans="4:5" x14ac:dyDescent="0.25">
      <c r="D202">
        <v>179</v>
      </c>
      <c r="E202">
        <v>0.28910486410237274</v>
      </c>
    </row>
    <row r="203" spans="4:5" x14ac:dyDescent="0.25">
      <c r="D203">
        <v>180</v>
      </c>
      <c r="E203">
        <v>0.32350417900633732</v>
      </c>
    </row>
    <row r="204" spans="4:5" x14ac:dyDescent="0.25">
      <c r="D204">
        <v>181</v>
      </c>
      <c r="E204">
        <v>0.31577990572267595</v>
      </c>
    </row>
    <row r="205" spans="4:5" x14ac:dyDescent="0.25">
      <c r="D205">
        <v>182</v>
      </c>
      <c r="E205">
        <v>0.30786138087208859</v>
      </c>
    </row>
    <row r="206" spans="4:5" x14ac:dyDescent="0.25">
      <c r="D206">
        <v>183</v>
      </c>
      <c r="E206">
        <v>0.28927114845586349</v>
      </c>
    </row>
    <row r="207" spans="4:5" x14ac:dyDescent="0.25">
      <c r="D207">
        <v>184</v>
      </c>
      <c r="E207">
        <v>0.33584518962658222</v>
      </c>
    </row>
    <row r="208" spans="4:5" x14ac:dyDescent="0.25">
      <c r="D208">
        <v>185</v>
      </c>
      <c r="E208">
        <v>0.33166820004774739</v>
      </c>
    </row>
    <row r="209" spans="4:5" x14ac:dyDescent="0.25">
      <c r="D209">
        <v>186</v>
      </c>
      <c r="E209">
        <v>0.30331284115066515</v>
      </c>
    </row>
    <row r="210" spans="4:5" x14ac:dyDescent="0.25">
      <c r="D210">
        <v>187</v>
      </c>
      <c r="E210">
        <v>0.27536318888011607</v>
      </c>
    </row>
    <row r="211" spans="4:5" x14ac:dyDescent="0.25">
      <c r="D211">
        <v>188</v>
      </c>
      <c r="E211">
        <v>0.28218476383534052</v>
      </c>
    </row>
    <row r="212" spans="4:5" x14ac:dyDescent="0.25">
      <c r="D212">
        <v>189</v>
      </c>
      <c r="E212">
        <v>0.27774726359202184</v>
      </c>
    </row>
    <row r="213" spans="4:5" x14ac:dyDescent="0.25">
      <c r="D213">
        <v>190</v>
      </c>
      <c r="E213">
        <v>0.28517929354030558</v>
      </c>
    </row>
    <row r="214" spans="4:5" x14ac:dyDescent="0.25">
      <c r="D214">
        <v>191</v>
      </c>
      <c r="E214">
        <v>0.2691956169527468</v>
      </c>
    </row>
    <row r="215" spans="4:5" x14ac:dyDescent="0.25">
      <c r="D215">
        <v>192</v>
      </c>
      <c r="E215">
        <v>0.30376991459560204</v>
      </c>
    </row>
    <row r="216" spans="4:5" x14ac:dyDescent="0.25">
      <c r="D216">
        <v>193</v>
      </c>
      <c r="E216">
        <v>0.30140026130885883</v>
      </c>
    </row>
    <row r="217" spans="4:5" x14ac:dyDescent="0.25">
      <c r="D217">
        <v>194</v>
      </c>
      <c r="E217">
        <v>0.28626516810841018</v>
      </c>
    </row>
    <row r="218" spans="4:5" x14ac:dyDescent="0.25">
      <c r="D218">
        <v>195</v>
      </c>
      <c r="E218">
        <v>0.30340523359140303</v>
      </c>
    </row>
    <row r="219" spans="4:5" x14ac:dyDescent="0.25">
      <c r="D219">
        <v>196</v>
      </c>
      <c r="E219">
        <v>0.30842301085533413</v>
      </c>
    </row>
    <row r="220" spans="4:5" x14ac:dyDescent="0.25">
      <c r="D220">
        <v>197</v>
      </c>
      <c r="E220">
        <v>0.28025017487026499</v>
      </c>
    </row>
    <row r="221" spans="4:5" x14ac:dyDescent="0.25">
      <c r="D221">
        <v>198</v>
      </c>
      <c r="E221">
        <v>0.31322333018087734</v>
      </c>
    </row>
    <row r="222" spans="4:5" x14ac:dyDescent="0.25">
      <c r="D222">
        <v>199</v>
      </c>
      <c r="E222">
        <v>0.3288624421393862</v>
      </c>
    </row>
    <row r="223" spans="4:5" x14ac:dyDescent="0.25">
      <c r="D223">
        <v>200</v>
      </c>
      <c r="E223">
        <v>0.27798557219476028</v>
      </c>
    </row>
    <row r="224" spans="4:5" x14ac:dyDescent="0.25">
      <c r="D224">
        <v>201</v>
      </c>
      <c r="E224">
        <v>0.29006427586393924</v>
      </c>
    </row>
    <row r="225" spans="4:5" x14ac:dyDescent="0.25">
      <c r="D225">
        <v>202</v>
      </c>
      <c r="E225">
        <v>0.30425107049434996</v>
      </c>
    </row>
    <row r="226" spans="4:5" x14ac:dyDescent="0.25">
      <c r="D226">
        <v>203</v>
      </c>
      <c r="E226">
        <v>0.28744748961480315</v>
      </c>
    </row>
    <row r="227" spans="4:5" x14ac:dyDescent="0.25">
      <c r="D227">
        <v>204</v>
      </c>
      <c r="E227">
        <v>0.30193207811511991</v>
      </c>
    </row>
    <row r="228" spans="4:5" x14ac:dyDescent="0.25">
      <c r="D228">
        <v>205</v>
      </c>
      <c r="E228">
        <v>0.3135879765602162</v>
      </c>
    </row>
    <row r="229" spans="4:5" x14ac:dyDescent="0.25">
      <c r="D229">
        <v>206</v>
      </c>
      <c r="E229">
        <v>0.31515295746842531</v>
      </c>
    </row>
    <row r="230" spans="4:5" x14ac:dyDescent="0.25">
      <c r="D230">
        <v>207</v>
      </c>
      <c r="E230">
        <v>0.29175995933765769</v>
      </c>
    </row>
    <row r="231" spans="4:5" x14ac:dyDescent="0.25">
      <c r="D231">
        <v>208</v>
      </c>
      <c r="E231">
        <v>0.30453730786399613</v>
      </c>
    </row>
    <row r="232" spans="4:5" x14ac:dyDescent="0.25">
      <c r="D232">
        <v>209</v>
      </c>
      <c r="E232">
        <v>0.28483344296471746</v>
      </c>
    </row>
    <row r="233" spans="4:5" x14ac:dyDescent="0.25">
      <c r="D233">
        <v>210</v>
      </c>
      <c r="E233">
        <v>0.29220743181742603</v>
      </c>
    </row>
    <row r="234" spans="4:5" x14ac:dyDescent="0.25">
      <c r="D234">
        <v>211</v>
      </c>
      <c r="E234">
        <v>0.28885304262946937</v>
      </c>
    </row>
    <row r="235" spans="4:5" x14ac:dyDescent="0.25">
      <c r="D235">
        <v>212</v>
      </c>
      <c r="E235">
        <v>0.29679564720268353</v>
      </c>
    </row>
    <row r="236" spans="4:5" x14ac:dyDescent="0.25">
      <c r="D236">
        <v>213</v>
      </c>
      <c r="E236">
        <v>0.3036208979523522</v>
      </c>
    </row>
    <row r="237" spans="4:5" x14ac:dyDescent="0.25">
      <c r="D237">
        <v>214</v>
      </c>
      <c r="E237">
        <v>0.30620768473779136</v>
      </c>
    </row>
    <row r="238" spans="4:5" x14ac:dyDescent="0.25">
      <c r="D238">
        <v>215</v>
      </c>
      <c r="E238">
        <v>0.32315496212223516</v>
      </c>
    </row>
    <row r="239" spans="4:5" x14ac:dyDescent="0.25">
      <c r="D239">
        <v>216</v>
      </c>
      <c r="E239">
        <v>0.29826831939097975</v>
      </c>
    </row>
    <row r="240" spans="4:5" x14ac:dyDescent="0.25">
      <c r="D240">
        <v>217</v>
      </c>
      <c r="E240">
        <v>0.28770083241905259</v>
      </c>
    </row>
    <row r="241" spans="4:5" x14ac:dyDescent="0.25">
      <c r="D241">
        <v>218</v>
      </c>
      <c r="E241">
        <v>0.29689701036583788</v>
      </c>
    </row>
    <row r="242" spans="4:5" x14ac:dyDescent="0.25">
      <c r="D242">
        <v>219</v>
      </c>
      <c r="E242">
        <v>0.28203072547318925</v>
      </c>
    </row>
    <row r="243" spans="4:5" x14ac:dyDescent="0.25">
      <c r="D243">
        <v>220</v>
      </c>
      <c r="E243">
        <v>0.30202389097665128</v>
      </c>
    </row>
    <row r="244" spans="4:5" x14ac:dyDescent="0.25">
      <c r="D244">
        <v>221</v>
      </c>
      <c r="E244">
        <v>0.32333033136416506</v>
      </c>
    </row>
    <row r="245" spans="4:5" x14ac:dyDescent="0.25">
      <c r="D245">
        <v>222</v>
      </c>
      <c r="E245">
        <v>0.31979657352552188</v>
      </c>
    </row>
    <row r="246" spans="4:5" x14ac:dyDescent="0.25">
      <c r="D246">
        <v>223</v>
      </c>
      <c r="E246">
        <v>0.31344526523685512</v>
      </c>
    </row>
    <row r="247" spans="4:5" x14ac:dyDescent="0.25">
      <c r="D247">
        <v>224</v>
      </c>
      <c r="E247">
        <v>0.29747897493903169</v>
      </c>
    </row>
    <row r="248" spans="4:5" x14ac:dyDescent="0.25">
      <c r="D248">
        <v>225</v>
      </c>
      <c r="E248">
        <v>0.26823362726663558</v>
      </c>
    </row>
    <row r="249" spans="4:5" x14ac:dyDescent="0.25">
      <c r="D249">
        <v>226</v>
      </c>
      <c r="E249">
        <v>0.31648765988362465</v>
      </c>
    </row>
    <row r="250" spans="4:5" x14ac:dyDescent="0.25">
      <c r="D250">
        <v>227</v>
      </c>
      <c r="E250">
        <v>0.29109463305423561</v>
      </c>
    </row>
    <row r="251" spans="4:5" x14ac:dyDescent="0.25">
      <c r="D251">
        <v>228</v>
      </c>
      <c r="E251">
        <v>0.31026739901680056</v>
      </c>
    </row>
    <row r="252" spans="4:5" x14ac:dyDescent="0.25">
      <c r="D252">
        <v>229</v>
      </c>
      <c r="E252">
        <v>0.30543965447145721</v>
      </c>
    </row>
    <row r="253" spans="4:5" x14ac:dyDescent="0.25">
      <c r="D253">
        <v>230</v>
      </c>
      <c r="E253">
        <v>0.27427247724786546</v>
      </c>
    </row>
    <row r="254" spans="4:5" x14ac:dyDescent="0.25">
      <c r="D254">
        <v>231</v>
      </c>
      <c r="E254">
        <v>0.28998718035450821</v>
      </c>
    </row>
    <row r="255" spans="4:5" x14ac:dyDescent="0.25">
      <c r="D255">
        <v>232</v>
      </c>
      <c r="E255">
        <v>0.30788938630981089</v>
      </c>
    </row>
    <row r="256" spans="4:5" x14ac:dyDescent="0.25">
      <c r="D256">
        <v>233</v>
      </c>
      <c r="E256">
        <v>0.31363203349842844</v>
      </c>
    </row>
    <row r="257" spans="4:5" x14ac:dyDescent="0.25">
      <c r="D257">
        <v>234</v>
      </c>
      <c r="E257">
        <v>0.30830911055826654</v>
      </c>
    </row>
    <row r="258" spans="4:5" x14ac:dyDescent="0.25">
      <c r="D258">
        <v>235</v>
      </c>
      <c r="E258">
        <v>0.30172391857147474</v>
      </c>
    </row>
    <row r="259" spans="4:5" x14ac:dyDescent="0.25">
      <c r="D259">
        <v>236</v>
      </c>
      <c r="E259">
        <v>0.29861527005441807</v>
      </c>
    </row>
    <row r="260" spans="4:5" x14ac:dyDescent="0.25">
      <c r="D260">
        <v>237</v>
      </c>
      <c r="E260">
        <v>0.31165896124213438</v>
      </c>
    </row>
    <row r="261" spans="4:5" x14ac:dyDescent="0.25">
      <c r="D261">
        <v>238</v>
      </c>
      <c r="E261">
        <v>0.29752209717350353</v>
      </c>
    </row>
    <row r="262" spans="4:5" x14ac:dyDescent="0.25">
      <c r="D262">
        <v>239</v>
      </c>
      <c r="E262">
        <v>0.27888382255470801</v>
      </c>
    </row>
    <row r="263" spans="4:5" x14ac:dyDescent="0.25">
      <c r="D263">
        <v>240</v>
      </c>
      <c r="E263">
        <v>0.31908904674239902</v>
      </c>
    </row>
    <row r="264" spans="4:5" x14ac:dyDescent="0.25">
      <c r="D264">
        <v>241</v>
      </c>
      <c r="E264">
        <v>0.29639752463194319</v>
      </c>
    </row>
    <row r="265" spans="4:5" x14ac:dyDescent="0.25">
      <c r="D265">
        <v>242</v>
      </c>
      <c r="E265">
        <v>0.30715244424257238</v>
      </c>
    </row>
    <row r="266" spans="4:5" x14ac:dyDescent="0.25">
      <c r="D266">
        <v>243</v>
      </c>
      <c r="E266">
        <v>0.31210024169205419</v>
      </c>
    </row>
    <row r="267" spans="4:5" x14ac:dyDescent="0.25">
      <c r="D267">
        <v>244</v>
      </c>
      <c r="E267">
        <v>0.27852146963770813</v>
      </c>
    </row>
    <row r="268" spans="4:5" x14ac:dyDescent="0.25">
      <c r="D268">
        <v>245</v>
      </c>
      <c r="E268">
        <v>0.30258541532594652</v>
      </c>
    </row>
    <row r="269" spans="4:5" x14ac:dyDescent="0.25">
      <c r="D269">
        <v>246</v>
      </c>
      <c r="E269">
        <v>0.27670204827553263</v>
      </c>
    </row>
    <row r="270" spans="4:5" x14ac:dyDescent="0.25">
      <c r="D270">
        <v>247</v>
      </c>
      <c r="E270">
        <v>0.28258935336172358</v>
      </c>
    </row>
    <row r="271" spans="4:5" x14ac:dyDescent="0.25">
      <c r="D271">
        <v>248</v>
      </c>
      <c r="E271">
        <v>0.30521632562266021</v>
      </c>
    </row>
    <row r="272" spans="4:5" x14ac:dyDescent="0.25">
      <c r="D272">
        <v>249</v>
      </c>
      <c r="E272">
        <v>0.29650862250292381</v>
      </c>
    </row>
    <row r="273" spans="4:5" x14ac:dyDescent="0.25">
      <c r="D273">
        <v>250</v>
      </c>
      <c r="E273">
        <v>0.30080149058970318</v>
      </c>
    </row>
    <row r="274" spans="4:5" x14ac:dyDescent="0.25">
      <c r="D274">
        <v>251</v>
      </c>
      <c r="E274">
        <v>0.27819703872934165</v>
      </c>
    </row>
    <row r="275" spans="4:5" x14ac:dyDescent="0.25">
      <c r="D275">
        <v>252</v>
      </c>
      <c r="E275">
        <v>0.30608281696878381</v>
      </c>
    </row>
    <row r="276" spans="4:5" x14ac:dyDescent="0.25">
      <c r="D276">
        <v>253</v>
      </c>
      <c r="E276">
        <v>0.31739007745592218</v>
      </c>
    </row>
    <row r="277" spans="4:5" x14ac:dyDescent="0.25">
      <c r="D277">
        <v>254</v>
      </c>
      <c r="E277">
        <v>0.32668830278253985</v>
      </c>
    </row>
    <row r="278" spans="4:5" x14ac:dyDescent="0.25">
      <c r="D278">
        <v>255</v>
      </c>
      <c r="E278">
        <v>0.30139573261363467</v>
      </c>
    </row>
    <row r="279" spans="4:5" x14ac:dyDescent="0.25">
      <c r="D279">
        <v>256</v>
      </c>
      <c r="E279">
        <v>0.29857655128316923</v>
      </c>
    </row>
    <row r="280" spans="4:5" x14ac:dyDescent="0.25">
      <c r="D280">
        <v>257</v>
      </c>
      <c r="E280">
        <v>0.29266147558166344</v>
      </c>
    </row>
    <row r="281" spans="4:5" x14ac:dyDescent="0.25">
      <c r="D281">
        <v>258</v>
      </c>
      <c r="E281">
        <v>0.30038953575628857</v>
      </c>
    </row>
    <row r="282" spans="4:5" x14ac:dyDescent="0.25">
      <c r="D282">
        <v>259</v>
      </c>
      <c r="E282">
        <v>0.31015336285364514</v>
      </c>
    </row>
    <row r="283" spans="4:5" x14ac:dyDescent="0.25">
      <c r="D283">
        <v>260</v>
      </c>
      <c r="E283">
        <v>0.25736396825655222</v>
      </c>
    </row>
    <row r="284" spans="4:5" x14ac:dyDescent="0.25">
      <c r="D284">
        <v>261</v>
      </c>
      <c r="E284">
        <v>0.3241797812722359</v>
      </c>
    </row>
    <row r="285" spans="4:5" x14ac:dyDescent="0.25">
      <c r="D285">
        <v>262</v>
      </c>
      <c r="E285">
        <v>0.30153654055147072</v>
      </c>
    </row>
    <row r="286" spans="4:5" x14ac:dyDescent="0.25">
      <c r="D286">
        <v>263</v>
      </c>
      <c r="E286">
        <v>0.27734532606864071</v>
      </c>
    </row>
    <row r="287" spans="4:5" x14ac:dyDescent="0.25">
      <c r="D287">
        <v>264</v>
      </c>
      <c r="E287">
        <v>0.29868461548187702</v>
      </c>
    </row>
    <row r="288" spans="4:5" x14ac:dyDescent="0.25">
      <c r="D288">
        <v>265</v>
      </c>
      <c r="E288">
        <v>0.29035108857003111</v>
      </c>
    </row>
    <row r="289" spans="4:5" x14ac:dyDescent="0.25">
      <c r="D289">
        <v>266</v>
      </c>
      <c r="E289">
        <v>0.3092318364858056</v>
      </c>
    </row>
    <row r="290" spans="4:5" x14ac:dyDescent="0.25">
      <c r="D290">
        <v>267</v>
      </c>
      <c r="E290">
        <v>0.30294893446241933</v>
      </c>
    </row>
    <row r="291" spans="4:5" x14ac:dyDescent="0.25">
      <c r="D291">
        <v>268</v>
      </c>
      <c r="E291">
        <v>0.28040640373675135</v>
      </c>
    </row>
    <row r="292" spans="4:5" x14ac:dyDescent="0.25">
      <c r="D292">
        <v>269</v>
      </c>
      <c r="E292">
        <v>0.29202995333380294</v>
      </c>
    </row>
    <row r="293" spans="4:5" x14ac:dyDescent="0.25">
      <c r="D293">
        <v>270</v>
      </c>
      <c r="E293">
        <v>0.28658847787158714</v>
      </c>
    </row>
    <row r="294" spans="4:5" x14ac:dyDescent="0.25">
      <c r="D294">
        <v>271</v>
      </c>
      <c r="E294">
        <v>0.30106217412751413</v>
      </c>
    </row>
    <row r="295" spans="4:5" x14ac:dyDescent="0.25">
      <c r="D295">
        <v>272</v>
      </c>
      <c r="E295">
        <v>0.32338374224063965</v>
      </c>
    </row>
    <row r="296" spans="4:5" x14ac:dyDescent="0.25">
      <c r="D296">
        <v>273</v>
      </c>
      <c r="E296">
        <v>0.26521851794260887</v>
      </c>
    </row>
    <row r="297" spans="4:5" x14ac:dyDescent="0.25">
      <c r="D297">
        <v>274</v>
      </c>
      <c r="E297">
        <v>0.30869821011048665</v>
      </c>
    </row>
    <row r="298" spans="4:5" x14ac:dyDescent="0.25">
      <c r="D298">
        <v>275</v>
      </c>
      <c r="E298">
        <v>0.29029004788083529</v>
      </c>
    </row>
    <row r="299" spans="4:5" x14ac:dyDescent="0.25">
      <c r="D299">
        <v>276</v>
      </c>
      <c r="E299">
        <v>0.32017236073467981</v>
      </c>
    </row>
    <row r="300" spans="4:5" x14ac:dyDescent="0.25">
      <c r="D300">
        <v>277</v>
      </c>
      <c r="E300">
        <v>0.27582132280399507</v>
      </c>
    </row>
    <row r="301" spans="4:5" x14ac:dyDescent="0.25">
      <c r="D301">
        <v>278</v>
      </c>
      <c r="E301">
        <v>0.30874931149351381</v>
      </c>
    </row>
    <row r="302" spans="4:5" x14ac:dyDescent="0.25">
      <c r="D302">
        <v>279</v>
      </c>
      <c r="E302">
        <v>0.30027228738028189</v>
      </c>
    </row>
    <row r="303" spans="4:5" x14ac:dyDescent="0.25">
      <c r="D303">
        <v>280</v>
      </c>
      <c r="E303">
        <v>0.31638216656286566</v>
      </c>
    </row>
    <row r="304" spans="4:5" x14ac:dyDescent="0.25">
      <c r="D304">
        <v>281</v>
      </c>
      <c r="E304">
        <v>0.30161124253802496</v>
      </c>
    </row>
    <row r="305" spans="4:5" x14ac:dyDescent="0.25">
      <c r="D305">
        <v>282</v>
      </c>
      <c r="E305">
        <v>0.31805835818447276</v>
      </c>
    </row>
    <row r="306" spans="4:5" x14ac:dyDescent="0.25">
      <c r="D306">
        <v>283</v>
      </c>
      <c r="E306">
        <v>0.28446300128485541</v>
      </c>
    </row>
    <row r="307" spans="4:5" x14ac:dyDescent="0.25">
      <c r="D307">
        <v>284</v>
      </c>
      <c r="E307">
        <v>0.29751421442228537</v>
      </c>
    </row>
    <row r="308" spans="4:5" x14ac:dyDescent="0.25">
      <c r="D308">
        <v>285</v>
      </c>
      <c r="E308">
        <v>0.28802952905191287</v>
      </c>
    </row>
    <row r="309" spans="4:5" x14ac:dyDescent="0.25">
      <c r="D309">
        <v>286</v>
      </c>
      <c r="E309">
        <v>0.29367411344873501</v>
      </c>
    </row>
    <row r="310" spans="4:5" x14ac:dyDescent="0.25">
      <c r="D310">
        <v>287</v>
      </c>
      <c r="E310">
        <v>0.30325678411191109</v>
      </c>
    </row>
    <row r="311" spans="4:5" x14ac:dyDescent="0.25">
      <c r="D311">
        <v>288</v>
      </c>
      <c r="E311">
        <v>0.29882850269023881</v>
      </c>
    </row>
    <row r="312" spans="4:5" x14ac:dyDescent="0.25">
      <c r="D312">
        <v>289</v>
      </c>
      <c r="E312">
        <v>0.29124966929883805</v>
      </c>
    </row>
    <row r="313" spans="4:5" x14ac:dyDescent="0.25">
      <c r="D313">
        <v>290</v>
      </c>
      <c r="E313">
        <v>0.30875987175812547</v>
      </c>
    </row>
    <row r="314" spans="4:5" x14ac:dyDescent="0.25">
      <c r="D314">
        <v>291</v>
      </c>
      <c r="E314">
        <v>0.30071110733055173</v>
      </c>
    </row>
    <row r="315" spans="4:5" x14ac:dyDescent="0.25">
      <c r="D315">
        <v>292</v>
      </c>
      <c r="E315">
        <v>0.30444111184271277</v>
      </c>
    </row>
    <row r="316" spans="4:5" x14ac:dyDescent="0.25">
      <c r="D316">
        <v>293</v>
      </c>
      <c r="E316">
        <v>0.32982295750062368</v>
      </c>
    </row>
    <row r="317" spans="4:5" x14ac:dyDescent="0.25">
      <c r="D317">
        <v>294</v>
      </c>
      <c r="E317">
        <v>0.27535655708453344</v>
      </c>
    </row>
    <row r="318" spans="4:5" x14ac:dyDescent="0.25">
      <c r="D318">
        <v>295</v>
      </c>
      <c r="E318">
        <v>0.28907459688955595</v>
      </c>
    </row>
    <row r="319" spans="4:5" x14ac:dyDescent="0.25">
      <c r="D319">
        <v>296</v>
      </c>
      <c r="E319">
        <v>0.27698187259253126</v>
      </c>
    </row>
    <row r="320" spans="4:5" x14ac:dyDescent="0.25">
      <c r="D320">
        <v>297</v>
      </c>
      <c r="E320">
        <v>0.29925503625256339</v>
      </c>
    </row>
    <row r="321" spans="4:5" x14ac:dyDescent="0.25">
      <c r="D321">
        <v>298</v>
      </c>
      <c r="E321">
        <v>0.29498924877628041</v>
      </c>
    </row>
    <row r="322" spans="4:5" x14ac:dyDescent="0.25">
      <c r="D322">
        <v>299</v>
      </c>
      <c r="E322">
        <v>0.31670232170230528</v>
      </c>
    </row>
    <row r="323" spans="4:5" x14ac:dyDescent="0.25">
      <c r="D323">
        <v>300</v>
      </c>
      <c r="E323">
        <v>0.29815666498949567</v>
      </c>
    </row>
    <row r="324" spans="4:5" x14ac:dyDescent="0.25">
      <c r="D324">
        <v>301</v>
      </c>
      <c r="E324">
        <v>0.27364776413400643</v>
      </c>
    </row>
    <row r="325" spans="4:5" x14ac:dyDescent="0.25">
      <c r="D325">
        <v>302</v>
      </c>
      <c r="E325">
        <v>0.34736407821797727</v>
      </c>
    </row>
    <row r="326" spans="4:5" x14ac:dyDescent="0.25">
      <c r="D326">
        <v>303</v>
      </c>
      <c r="E326">
        <v>0.33630557655835652</v>
      </c>
    </row>
    <row r="327" spans="4:5" x14ac:dyDescent="0.25">
      <c r="D327">
        <v>304</v>
      </c>
      <c r="E327">
        <v>0.28737163343674688</v>
      </c>
    </row>
    <row r="328" spans="4:5" x14ac:dyDescent="0.25">
      <c r="D328">
        <v>305</v>
      </c>
      <c r="E328">
        <v>0.2972369232946917</v>
      </c>
    </row>
    <row r="329" spans="4:5" x14ac:dyDescent="0.25">
      <c r="D329">
        <v>306</v>
      </c>
      <c r="E329">
        <v>0.3309176564923868</v>
      </c>
    </row>
    <row r="330" spans="4:5" x14ac:dyDescent="0.25">
      <c r="D330">
        <v>307</v>
      </c>
      <c r="E330">
        <v>0.30403362834149944</v>
      </c>
    </row>
    <row r="331" spans="4:5" x14ac:dyDescent="0.25">
      <c r="D331">
        <v>308</v>
      </c>
      <c r="E331">
        <v>0.27137891900154926</v>
      </c>
    </row>
    <row r="332" spans="4:5" x14ac:dyDescent="0.25">
      <c r="D332">
        <v>309</v>
      </c>
      <c r="E332">
        <v>0.30822492367138066</v>
      </c>
    </row>
    <row r="333" spans="4:5" x14ac:dyDescent="0.25">
      <c r="D333">
        <v>310</v>
      </c>
      <c r="E333">
        <v>0.31289267320006892</v>
      </c>
    </row>
    <row r="334" spans="4:5" x14ac:dyDescent="0.25">
      <c r="D334">
        <v>311</v>
      </c>
      <c r="E334">
        <v>0.32020861351950808</v>
      </c>
    </row>
    <row r="335" spans="4:5" x14ac:dyDescent="0.25">
      <c r="D335">
        <v>312</v>
      </c>
      <c r="E335">
        <v>0.29934732938457109</v>
      </c>
    </row>
    <row r="336" spans="4:5" x14ac:dyDescent="0.25">
      <c r="D336">
        <v>313</v>
      </c>
      <c r="E336">
        <v>0.34693632452160578</v>
      </c>
    </row>
    <row r="337" spans="4:5" x14ac:dyDescent="0.25">
      <c r="D337">
        <v>314</v>
      </c>
      <c r="E337">
        <v>0.32147207144454276</v>
      </c>
    </row>
    <row r="338" spans="4:5" x14ac:dyDescent="0.25">
      <c r="D338">
        <v>315</v>
      </c>
      <c r="E338">
        <v>0.29509899253062633</v>
      </c>
    </row>
    <row r="339" spans="4:5" x14ac:dyDescent="0.25">
      <c r="D339">
        <v>316</v>
      </c>
      <c r="E339">
        <v>0.32568726604011716</v>
      </c>
    </row>
    <row r="340" spans="4:5" x14ac:dyDescent="0.25">
      <c r="D340">
        <v>317</v>
      </c>
      <c r="E340">
        <v>0.29410624337753771</v>
      </c>
    </row>
    <row r="341" spans="4:5" x14ac:dyDescent="0.25">
      <c r="D341">
        <v>318</v>
      </c>
      <c r="E341">
        <v>0.31546918784574668</v>
      </c>
    </row>
    <row r="342" spans="4:5" x14ac:dyDescent="0.25">
      <c r="D342">
        <v>319</v>
      </c>
      <c r="E342">
        <v>0.30373629708286742</v>
      </c>
    </row>
    <row r="343" spans="4:5" x14ac:dyDescent="0.25">
      <c r="D343">
        <v>320</v>
      </c>
      <c r="E343">
        <v>0.31400280222913846</v>
      </c>
    </row>
    <row r="344" spans="4:5" x14ac:dyDescent="0.25">
      <c r="D344">
        <v>321</v>
      </c>
      <c r="E344">
        <v>0.3046937194769565</v>
      </c>
    </row>
    <row r="345" spans="4:5" x14ac:dyDescent="0.25">
      <c r="D345">
        <v>322</v>
      </c>
      <c r="E345">
        <v>0.3055909870749805</v>
      </c>
    </row>
    <row r="346" spans="4:5" x14ac:dyDescent="0.25">
      <c r="D346">
        <v>323</v>
      </c>
      <c r="E346">
        <v>0.32265526720213633</v>
      </c>
    </row>
    <row r="347" spans="4:5" x14ac:dyDescent="0.25">
      <c r="D347">
        <v>324</v>
      </c>
      <c r="E347">
        <v>0.29985192458781373</v>
      </c>
    </row>
    <row r="348" spans="4:5" x14ac:dyDescent="0.25">
      <c r="D348">
        <v>325</v>
      </c>
      <c r="E348">
        <v>0.31611923263008729</v>
      </c>
    </row>
    <row r="349" spans="4:5" x14ac:dyDescent="0.25">
      <c r="D349">
        <v>326</v>
      </c>
      <c r="E349">
        <v>0.30411203515210566</v>
      </c>
    </row>
    <row r="350" spans="4:5" x14ac:dyDescent="0.25">
      <c r="D350">
        <v>327</v>
      </c>
      <c r="E350">
        <v>0.33463193152343113</v>
      </c>
    </row>
    <row r="351" spans="4:5" x14ac:dyDescent="0.25">
      <c r="D351">
        <v>328</v>
      </c>
      <c r="E351">
        <v>0.28792176702899869</v>
      </c>
    </row>
    <row r="352" spans="4:5" x14ac:dyDescent="0.25">
      <c r="D352">
        <v>329</v>
      </c>
      <c r="E352">
        <v>0.30769686285040304</v>
      </c>
    </row>
    <row r="353" spans="4:5" x14ac:dyDescent="0.25">
      <c r="D353">
        <v>330</v>
      </c>
      <c r="E353">
        <v>0.30563448510004115</v>
      </c>
    </row>
    <row r="354" spans="4:5" x14ac:dyDescent="0.25">
      <c r="D354">
        <v>331</v>
      </c>
      <c r="E354">
        <v>0.30855350675325732</v>
      </c>
    </row>
    <row r="355" spans="4:5" x14ac:dyDescent="0.25">
      <c r="D355">
        <v>332</v>
      </c>
      <c r="E355">
        <v>0.28582222351079395</v>
      </c>
    </row>
    <row r="356" spans="4:5" x14ac:dyDescent="0.25">
      <c r="D356">
        <v>333</v>
      </c>
      <c r="E356">
        <v>0.31957196115827624</v>
      </c>
    </row>
    <row r="357" spans="4:5" x14ac:dyDescent="0.25">
      <c r="D357">
        <v>334</v>
      </c>
      <c r="E357">
        <v>0.29712180535799143</v>
      </c>
    </row>
    <row r="358" spans="4:5" x14ac:dyDescent="0.25">
      <c r="D358">
        <v>335</v>
      </c>
      <c r="E358">
        <v>0.29799073510688612</v>
      </c>
    </row>
    <row r="359" spans="4:5" x14ac:dyDescent="0.25">
      <c r="D359">
        <v>336</v>
      </c>
      <c r="E359">
        <v>0.32730994227161697</v>
      </c>
    </row>
    <row r="360" spans="4:5" x14ac:dyDescent="0.25">
      <c r="D360">
        <v>337</v>
      </c>
      <c r="E360">
        <v>0.27950228311055897</v>
      </c>
    </row>
    <row r="361" spans="4:5" x14ac:dyDescent="0.25">
      <c r="D361">
        <v>338</v>
      </c>
      <c r="E361">
        <v>0.29567947813976142</v>
      </c>
    </row>
    <row r="362" spans="4:5" x14ac:dyDescent="0.25">
      <c r="D362">
        <v>339</v>
      </c>
      <c r="E362">
        <v>0.30210398130626265</v>
      </c>
    </row>
    <row r="363" spans="4:5" x14ac:dyDescent="0.25">
      <c r="D363">
        <v>340</v>
      </c>
      <c r="E363">
        <v>0.27658196217912484</v>
      </c>
    </row>
    <row r="364" spans="4:5" x14ac:dyDescent="0.25">
      <c r="D364">
        <v>341</v>
      </c>
      <c r="E364">
        <v>0.30702167540655317</v>
      </c>
    </row>
    <row r="365" spans="4:5" x14ac:dyDescent="0.25">
      <c r="D365">
        <v>342</v>
      </c>
      <c r="E365">
        <v>0.29276517838129584</v>
      </c>
    </row>
    <row r="366" spans="4:5" x14ac:dyDescent="0.25">
      <c r="D366">
        <v>343</v>
      </c>
      <c r="E366">
        <v>0.29203275828094311</v>
      </c>
    </row>
    <row r="367" spans="4:5" x14ac:dyDescent="0.25">
      <c r="D367">
        <v>344</v>
      </c>
      <c r="E367">
        <v>0.27805668594942873</v>
      </c>
    </row>
    <row r="368" spans="4:5" x14ac:dyDescent="0.25">
      <c r="D368">
        <v>345</v>
      </c>
      <c r="E368">
        <v>0.32000016768213158</v>
      </c>
    </row>
    <row r="369" spans="4:5" x14ac:dyDescent="0.25">
      <c r="D369">
        <v>346</v>
      </c>
      <c r="E369">
        <v>0.27245764365074343</v>
      </c>
    </row>
    <row r="370" spans="4:5" x14ac:dyDescent="0.25">
      <c r="D370">
        <v>347</v>
      </c>
      <c r="E370">
        <v>0.31327686379873482</v>
      </c>
    </row>
    <row r="371" spans="4:5" x14ac:dyDescent="0.25">
      <c r="D371">
        <v>348</v>
      </c>
      <c r="E371">
        <v>0.3362437838459138</v>
      </c>
    </row>
    <row r="372" spans="4:5" x14ac:dyDescent="0.25">
      <c r="D372">
        <v>349</v>
      </c>
      <c r="E372">
        <v>0.31990097916029936</v>
      </c>
    </row>
    <row r="373" spans="4:5" x14ac:dyDescent="0.25">
      <c r="D373">
        <v>350</v>
      </c>
      <c r="E373">
        <v>0.29576545596560855</v>
      </c>
    </row>
    <row r="374" spans="4:5" x14ac:dyDescent="0.25">
      <c r="D374">
        <v>351</v>
      </c>
      <c r="E374">
        <v>0.28981755908148704</v>
      </c>
    </row>
    <row r="375" spans="4:5" x14ac:dyDescent="0.25">
      <c r="D375">
        <v>352</v>
      </c>
      <c r="E375">
        <v>0.30451769335096396</v>
      </c>
    </row>
    <row r="376" spans="4:5" x14ac:dyDescent="0.25">
      <c r="D376">
        <v>353</v>
      </c>
      <c r="E376">
        <v>0.28539856021476046</v>
      </c>
    </row>
    <row r="377" spans="4:5" x14ac:dyDescent="0.25">
      <c r="D377">
        <v>354</v>
      </c>
      <c r="E377">
        <v>0.28180321726915269</v>
      </c>
    </row>
    <row r="378" spans="4:5" x14ac:dyDescent="0.25">
      <c r="D378">
        <v>355</v>
      </c>
      <c r="E378">
        <v>0.29354553882395673</v>
      </c>
    </row>
    <row r="379" spans="4:5" x14ac:dyDescent="0.25">
      <c r="D379">
        <v>356</v>
      </c>
      <c r="E379">
        <v>0.29176740451284505</v>
      </c>
    </row>
    <row r="380" spans="4:5" x14ac:dyDescent="0.25">
      <c r="D380">
        <v>357</v>
      </c>
      <c r="E380">
        <v>0.31170108706224947</v>
      </c>
    </row>
    <row r="381" spans="4:5" x14ac:dyDescent="0.25">
      <c r="D381">
        <v>358</v>
      </c>
      <c r="E381">
        <v>0.32002112565106478</v>
      </c>
    </row>
    <row r="382" spans="4:5" x14ac:dyDescent="0.25">
      <c r="D382">
        <v>359</v>
      </c>
      <c r="E382">
        <v>0.30209644769952326</v>
      </c>
    </row>
    <row r="383" spans="4:5" x14ac:dyDescent="0.25">
      <c r="D383">
        <v>360</v>
      </c>
      <c r="E383">
        <v>0.31961570262597649</v>
      </c>
    </row>
    <row r="384" spans="4:5" x14ac:dyDescent="0.25">
      <c r="D384">
        <v>361</v>
      </c>
      <c r="E384">
        <v>0.31058601907278449</v>
      </c>
    </row>
    <row r="385" spans="4:5" x14ac:dyDescent="0.25">
      <c r="D385">
        <v>362</v>
      </c>
      <c r="E385">
        <v>0.30348663051203134</v>
      </c>
    </row>
    <row r="386" spans="4:5" x14ac:dyDescent="0.25">
      <c r="D386">
        <v>363</v>
      </c>
      <c r="E386">
        <v>0.29361824811472648</v>
      </c>
    </row>
    <row r="387" spans="4:5" x14ac:dyDescent="0.25">
      <c r="D387">
        <v>364</v>
      </c>
      <c r="E387">
        <v>0.28741972888681666</v>
      </c>
    </row>
    <row r="388" spans="4:5" x14ac:dyDescent="0.25">
      <c r="D388">
        <v>365</v>
      </c>
      <c r="E388">
        <v>0.29648110906244418</v>
      </c>
    </row>
    <row r="389" spans="4:5" x14ac:dyDescent="0.25">
      <c r="D389">
        <v>366</v>
      </c>
      <c r="E389">
        <v>0.28435797945066688</v>
      </c>
    </row>
    <row r="390" spans="4:5" x14ac:dyDescent="0.25">
      <c r="D390">
        <v>367</v>
      </c>
      <c r="E390">
        <v>0.28344368754628796</v>
      </c>
    </row>
    <row r="391" spans="4:5" x14ac:dyDescent="0.25">
      <c r="D391">
        <v>368</v>
      </c>
      <c r="E391">
        <v>0.33274113501021751</v>
      </c>
    </row>
    <row r="392" spans="4:5" x14ac:dyDescent="0.25">
      <c r="D392">
        <v>369</v>
      </c>
      <c r="E392">
        <v>0.33258557218930301</v>
      </c>
    </row>
    <row r="393" spans="4:5" x14ac:dyDescent="0.25">
      <c r="D393">
        <v>370</v>
      </c>
      <c r="E393">
        <v>0.29274938287145646</v>
      </c>
    </row>
    <row r="394" spans="4:5" x14ac:dyDescent="0.25">
      <c r="D394">
        <v>371</v>
      </c>
      <c r="E394">
        <v>0.29261649477030655</v>
      </c>
    </row>
    <row r="395" spans="4:5" x14ac:dyDescent="0.25">
      <c r="D395">
        <v>372</v>
      </c>
      <c r="E395">
        <v>0.28738608286898221</v>
      </c>
    </row>
    <row r="396" spans="4:5" x14ac:dyDescent="0.25">
      <c r="D396">
        <v>373</v>
      </c>
      <c r="E396">
        <v>0.30568658488967387</v>
      </c>
    </row>
    <row r="397" spans="4:5" x14ac:dyDescent="0.25">
      <c r="D397">
        <v>374</v>
      </c>
      <c r="E397">
        <v>0.29475356143249698</v>
      </c>
    </row>
    <row r="398" spans="4:5" x14ac:dyDescent="0.25">
      <c r="D398">
        <v>375</v>
      </c>
      <c r="E398">
        <v>0.29241103105305677</v>
      </c>
    </row>
    <row r="399" spans="4:5" x14ac:dyDescent="0.25">
      <c r="D399">
        <v>376</v>
      </c>
      <c r="E399">
        <v>0.31250494688402825</v>
      </c>
    </row>
    <row r="400" spans="4:5" x14ac:dyDescent="0.25">
      <c r="D400">
        <v>377</v>
      </c>
      <c r="E400">
        <v>0.28601210248731485</v>
      </c>
    </row>
    <row r="401" spans="4:5" x14ac:dyDescent="0.25">
      <c r="D401">
        <v>378</v>
      </c>
      <c r="E401">
        <v>0.29769894898226906</v>
      </c>
    </row>
    <row r="402" spans="4:5" x14ac:dyDescent="0.25">
      <c r="D402">
        <v>379</v>
      </c>
      <c r="E402">
        <v>0.31973109189801696</v>
      </c>
    </row>
    <row r="403" spans="4:5" x14ac:dyDescent="0.25">
      <c r="D403">
        <v>380</v>
      </c>
      <c r="E403">
        <v>0.30302288161452839</v>
      </c>
    </row>
    <row r="404" spans="4:5" x14ac:dyDescent="0.25">
      <c r="D404">
        <v>381</v>
      </c>
      <c r="E404">
        <v>0.3028366992033853</v>
      </c>
    </row>
    <row r="405" spans="4:5" x14ac:dyDescent="0.25">
      <c r="D405">
        <v>382</v>
      </c>
      <c r="E405">
        <v>0.31171843263700266</v>
      </c>
    </row>
    <row r="406" spans="4:5" x14ac:dyDescent="0.25">
      <c r="D406">
        <v>383</v>
      </c>
      <c r="E406">
        <v>0.2917609050282064</v>
      </c>
    </row>
    <row r="407" spans="4:5" x14ac:dyDescent="0.25">
      <c r="D407">
        <v>384</v>
      </c>
      <c r="E407">
        <v>0.3027673946160464</v>
      </c>
    </row>
    <row r="408" spans="4:5" x14ac:dyDescent="0.25">
      <c r="D408">
        <v>385</v>
      </c>
      <c r="E408">
        <v>0.29623984093780015</v>
      </c>
    </row>
    <row r="409" spans="4:5" x14ac:dyDescent="0.25">
      <c r="D409">
        <v>386</v>
      </c>
      <c r="E409">
        <v>0.30465501646290011</v>
      </c>
    </row>
    <row r="410" spans="4:5" x14ac:dyDescent="0.25">
      <c r="D410">
        <v>387</v>
      </c>
      <c r="E410">
        <v>0.28643882186093067</v>
      </c>
    </row>
    <row r="411" spans="4:5" x14ac:dyDescent="0.25">
      <c r="D411">
        <v>388</v>
      </c>
      <c r="E411">
        <v>0.29784596648665562</v>
      </c>
    </row>
    <row r="412" spans="4:5" x14ac:dyDescent="0.25">
      <c r="D412">
        <v>389</v>
      </c>
      <c r="E412">
        <v>0.28846000151930234</v>
      </c>
    </row>
    <row r="413" spans="4:5" x14ac:dyDescent="0.25">
      <c r="D413">
        <v>390</v>
      </c>
      <c r="E413">
        <v>0.28603543332855108</v>
      </c>
    </row>
    <row r="414" spans="4:5" x14ac:dyDescent="0.25">
      <c r="D414">
        <v>391</v>
      </c>
      <c r="E414">
        <v>0.27463845378088619</v>
      </c>
    </row>
    <row r="415" spans="4:5" x14ac:dyDescent="0.25">
      <c r="D415">
        <v>392</v>
      </c>
      <c r="E415">
        <v>0.29216265413479642</v>
      </c>
    </row>
    <row r="416" spans="4:5" x14ac:dyDescent="0.25">
      <c r="D416">
        <v>393</v>
      </c>
      <c r="E416">
        <v>0.31163849658529441</v>
      </c>
    </row>
    <row r="417" spans="4:5" x14ac:dyDescent="0.25">
      <c r="D417">
        <v>394</v>
      </c>
      <c r="E417">
        <v>0.29956812530239851</v>
      </c>
    </row>
    <row r="418" spans="4:5" x14ac:dyDescent="0.25">
      <c r="D418">
        <v>395</v>
      </c>
      <c r="E418">
        <v>0.32177395808685072</v>
      </c>
    </row>
    <row r="419" spans="4:5" x14ac:dyDescent="0.25">
      <c r="D419">
        <v>396</v>
      </c>
      <c r="E419">
        <v>0.33810040041420292</v>
      </c>
    </row>
    <row r="420" spans="4:5" x14ac:dyDescent="0.25">
      <c r="D420">
        <v>397</v>
      </c>
      <c r="E420">
        <v>0.30024914651567841</v>
      </c>
    </row>
    <row r="421" spans="4:5" x14ac:dyDescent="0.25">
      <c r="D421">
        <v>398</v>
      </c>
      <c r="E421">
        <v>0.28694243525414981</v>
      </c>
    </row>
    <row r="422" spans="4:5" x14ac:dyDescent="0.25">
      <c r="D422">
        <v>399</v>
      </c>
      <c r="E422">
        <v>0.27752624537497389</v>
      </c>
    </row>
    <row r="423" spans="4:5" x14ac:dyDescent="0.25">
      <c r="D423">
        <v>400</v>
      </c>
      <c r="E423">
        <v>0.29464352803611671</v>
      </c>
    </row>
    <row r="424" spans="4:5" x14ac:dyDescent="0.25">
      <c r="D424">
        <v>401</v>
      </c>
      <c r="E424">
        <v>0.33008262514258058</v>
      </c>
    </row>
    <row r="425" spans="4:5" x14ac:dyDescent="0.25">
      <c r="D425">
        <v>402</v>
      </c>
      <c r="E425">
        <v>0.3192337822712194</v>
      </c>
    </row>
    <row r="426" spans="4:5" x14ac:dyDescent="0.25">
      <c r="D426">
        <v>403</v>
      </c>
      <c r="E426">
        <v>0.32250623823572427</v>
      </c>
    </row>
    <row r="427" spans="4:5" x14ac:dyDescent="0.25">
      <c r="D427">
        <v>404</v>
      </c>
      <c r="E427">
        <v>0.3088410586955343</v>
      </c>
    </row>
    <row r="428" spans="4:5" x14ac:dyDescent="0.25">
      <c r="D428">
        <v>405</v>
      </c>
      <c r="E428">
        <v>0.29787004102479891</v>
      </c>
    </row>
    <row r="429" spans="4:5" x14ac:dyDescent="0.25">
      <c r="D429">
        <v>406</v>
      </c>
      <c r="E429">
        <v>0.29815911808183582</v>
      </c>
    </row>
    <row r="430" spans="4:5" x14ac:dyDescent="0.25">
      <c r="D430">
        <v>407</v>
      </c>
      <c r="E430">
        <v>0.27127978735541852</v>
      </c>
    </row>
    <row r="431" spans="4:5" x14ac:dyDescent="0.25">
      <c r="D431">
        <v>408</v>
      </c>
      <c r="E431">
        <v>0.31112370967949132</v>
      </c>
    </row>
    <row r="432" spans="4:5" x14ac:dyDescent="0.25">
      <c r="D432">
        <v>409</v>
      </c>
      <c r="E432">
        <v>0.30479422369423897</v>
      </c>
    </row>
    <row r="433" spans="4:5" x14ac:dyDescent="0.25">
      <c r="D433">
        <v>410</v>
      </c>
      <c r="E433">
        <v>0.28624990262452044</v>
      </c>
    </row>
    <row r="434" spans="4:5" x14ac:dyDescent="0.25">
      <c r="D434">
        <v>411</v>
      </c>
      <c r="E434">
        <v>0.31862268058068027</v>
      </c>
    </row>
    <row r="435" spans="4:5" x14ac:dyDescent="0.25">
      <c r="D435">
        <v>412</v>
      </c>
      <c r="E435">
        <v>0.28327230261539288</v>
      </c>
    </row>
    <row r="436" spans="4:5" x14ac:dyDescent="0.25">
      <c r="D436">
        <v>413</v>
      </c>
      <c r="E436">
        <v>0.29017644383149055</v>
      </c>
    </row>
    <row r="437" spans="4:5" x14ac:dyDescent="0.25">
      <c r="D437">
        <v>414</v>
      </c>
      <c r="E437">
        <v>0.30166844540587245</v>
      </c>
    </row>
    <row r="438" spans="4:5" x14ac:dyDescent="0.25">
      <c r="D438">
        <v>415</v>
      </c>
      <c r="E438">
        <v>0.29437035875707435</v>
      </c>
    </row>
    <row r="439" spans="4:5" x14ac:dyDescent="0.25">
      <c r="D439">
        <v>416</v>
      </c>
      <c r="E439">
        <v>0.29330997223775801</v>
      </c>
    </row>
    <row r="440" spans="4:5" x14ac:dyDescent="0.25">
      <c r="D440">
        <v>417</v>
      </c>
      <c r="E440">
        <v>0.30434297043181674</v>
      </c>
    </row>
    <row r="441" spans="4:5" x14ac:dyDescent="0.25">
      <c r="D441">
        <v>418</v>
      </c>
      <c r="E441">
        <v>0.29976218512419223</v>
      </c>
    </row>
    <row r="442" spans="4:5" x14ac:dyDescent="0.25">
      <c r="D442">
        <v>419</v>
      </c>
      <c r="E442">
        <v>0.3283348328745736</v>
      </c>
    </row>
    <row r="443" spans="4:5" x14ac:dyDescent="0.25">
      <c r="D443">
        <v>420</v>
      </c>
      <c r="E443">
        <v>0.29899674179709151</v>
      </c>
    </row>
    <row r="444" spans="4:5" x14ac:dyDescent="0.25">
      <c r="D444">
        <v>421</v>
      </c>
      <c r="E444">
        <v>0.33030406631227549</v>
      </c>
    </row>
    <row r="445" spans="4:5" x14ac:dyDescent="0.25">
      <c r="D445">
        <v>422</v>
      </c>
      <c r="E445">
        <v>0.33342443057102389</v>
      </c>
    </row>
    <row r="446" spans="4:5" x14ac:dyDescent="0.25">
      <c r="D446">
        <v>423</v>
      </c>
      <c r="E446">
        <v>0.28874102481339126</v>
      </c>
    </row>
    <row r="447" spans="4:5" x14ac:dyDescent="0.25">
      <c r="D447">
        <v>424</v>
      </c>
      <c r="E447">
        <v>0.28662956778517712</v>
      </c>
    </row>
    <row r="448" spans="4:5" x14ac:dyDescent="0.25">
      <c r="D448">
        <v>425</v>
      </c>
      <c r="E448">
        <v>0.33735052367629825</v>
      </c>
    </row>
    <row r="449" spans="4:5" x14ac:dyDescent="0.25">
      <c r="D449">
        <v>426</v>
      </c>
      <c r="E449">
        <v>0.28023615336765284</v>
      </c>
    </row>
    <row r="450" spans="4:5" x14ac:dyDescent="0.25">
      <c r="D450">
        <v>427</v>
      </c>
      <c r="E450">
        <v>0.29053410787575829</v>
      </c>
    </row>
    <row r="451" spans="4:5" x14ac:dyDescent="0.25">
      <c r="D451">
        <v>428</v>
      </c>
      <c r="E451">
        <v>0.30112569776713199</v>
      </c>
    </row>
    <row r="452" spans="4:5" x14ac:dyDescent="0.25">
      <c r="D452">
        <v>429</v>
      </c>
      <c r="E452">
        <v>0.2631117767622968</v>
      </c>
    </row>
    <row r="453" spans="4:5" x14ac:dyDescent="0.25">
      <c r="D453">
        <v>430</v>
      </c>
      <c r="E453">
        <v>0.29719964476600047</v>
      </c>
    </row>
    <row r="454" spans="4:5" x14ac:dyDescent="0.25">
      <c r="D454">
        <v>431</v>
      </c>
      <c r="E454">
        <v>0.2982331367525497</v>
      </c>
    </row>
    <row r="455" spans="4:5" x14ac:dyDescent="0.25">
      <c r="D455">
        <v>432</v>
      </c>
      <c r="E455">
        <v>0.30578985290729643</v>
      </c>
    </row>
    <row r="456" spans="4:5" x14ac:dyDescent="0.25">
      <c r="D456">
        <v>433</v>
      </c>
      <c r="E456">
        <v>0.27736942238926698</v>
      </c>
    </row>
    <row r="457" spans="4:5" x14ac:dyDescent="0.25">
      <c r="D457">
        <v>434</v>
      </c>
      <c r="E457">
        <v>0.32375887606064707</v>
      </c>
    </row>
    <row r="458" spans="4:5" x14ac:dyDescent="0.25">
      <c r="D458">
        <v>435</v>
      </c>
      <c r="E458">
        <v>0.30898367847683439</v>
      </c>
    </row>
    <row r="459" spans="4:5" x14ac:dyDescent="0.25">
      <c r="D459">
        <v>436</v>
      </c>
      <c r="E459">
        <v>0.30925534246274533</v>
      </c>
    </row>
    <row r="460" spans="4:5" x14ac:dyDescent="0.25">
      <c r="D460">
        <v>437</v>
      </c>
      <c r="E460">
        <v>0.31929430136744186</v>
      </c>
    </row>
    <row r="461" spans="4:5" x14ac:dyDescent="0.25">
      <c r="D461">
        <v>438</v>
      </c>
      <c r="E461">
        <v>0.27599793783800719</v>
      </c>
    </row>
    <row r="462" spans="4:5" x14ac:dyDescent="0.25">
      <c r="D462">
        <v>439</v>
      </c>
      <c r="E462">
        <v>0.30739455808728483</v>
      </c>
    </row>
    <row r="463" spans="4:5" x14ac:dyDescent="0.25">
      <c r="D463">
        <v>440</v>
      </c>
      <c r="E463">
        <v>0.28910566849216468</v>
      </c>
    </row>
    <row r="464" spans="4:5" x14ac:dyDescent="0.25">
      <c r="D464">
        <v>441</v>
      </c>
      <c r="E464">
        <v>0.28666896894112781</v>
      </c>
    </row>
    <row r="465" spans="4:5" x14ac:dyDescent="0.25">
      <c r="D465">
        <v>442</v>
      </c>
      <c r="E465">
        <v>0.31599787751367275</v>
      </c>
    </row>
    <row r="466" spans="4:5" x14ac:dyDescent="0.25">
      <c r="D466">
        <v>443</v>
      </c>
      <c r="E466">
        <v>0.3042995231734183</v>
      </c>
    </row>
    <row r="467" spans="4:5" x14ac:dyDescent="0.25">
      <c r="D467">
        <v>444</v>
      </c>
      <c r="E467">
        <v>0.28684029552801155</v>
      </c>
    </row>
    <row r="468" spans="4:5" x14ac:dyDescent="0.25">
      <c r="D468">
        <v>445</v>
      </c>
      <c r="E468">
        <v>0.28864032082030067</v>
      </c>
    </row>
    <row r="469" spans="4:5" x14ac:dyDescent="0.25">
      <c r="D469">
        <v>446</v>
      </c>
      <c r="E469">
        <v>0.28289531880165431</v>
      </c>
    </row>
    <row r="470" spans="4:5" x14ac:dyDescent="0.25">
      <c r="D470">
        <v>447</v>
      </c>
      <c r="E470">
        <v>0.30377838304514337</v>
      </c>
    </row>
    <row r="471" spans="4:5" x14ac:dyDescent="0.25">
      <c r="D471">
        <v>448</v>
      </c>
      <c r="E471">
        <v>0.29354223421130232</v>
      </c>
    </row>
    <row r="472" spans="4:5" x14ac:dyDescent="0.25">
      <c r="D472">
        <v>449</v>
      </c>
      <c r="E472">
        <v>0.26822998126334019</v>
      </c>
    </row>
    <row r="473" spans="4:5" x14ac:dyDescent="0.25">
      <c r="D473">
        <v>450</v>
      </c>
      <c r="E473">
        <v>0.31304469005747315</v>
      </c>
    </row>
    <row r="474" spans="4:5" x14ac:dyDescent="0.25">
      <c r="D474">
        <v>451</v>
      </c>
      <c r="E474">
        <v>0.31334888612834944</v>
      </c>
    </row>
    <row r="475" spans="4:5" x14ac:dyDescent="0.25">
      <c r="D475">
        <v>452</v>
      </c>
      <c r="E475">
        <v>0.28368512458102019</v>
      </c>
    </row>
    <row r="476" spans="4:5" x14ac:dyDescent="0.25">
      <c r="D476">
        <v>453</v>
      </c>
      <c r="E476">
        <v>0.30862939749361795</v>
      </c>
    </row>
    <row r="477" spans="4:5" x14ac:dyDescent="0.25">
      <c r="D477">
        <v>454</v>
      </c>
      <c r="E477">
        <v>0.30898339834580529</v>
      </c>
    </row>
    <row r="478" spans="4:5" x14ac:dyDescent="0.25">
      <c r="D478">
        <v>455</v>
      </c>
      <c r="E478">
        <v>0.31209281390063376</v>
      </c>
    </row>
    <row r="479" spans="4:5" x14ac:dyDescent="0.25">
      <c r="D479">
        <v>456</v>
      </c>
      <c r="E479">
        <v>0.33108926598728211</v>
      </c>
    </row>
    <row r="480" spans="4:5" x14ac:dyDescent="0.25">
      <c r="D480">
        <v>457</v>
      </c>
      <c r="E480">
        <v>0.33277611889437325</v>
      </c>
    </row>
    <row r="481" spans="4:5" x14ac:dyDescent="0.25">
      <c r="D481">
        <v>458</v>
      </c>
      <c r="E481">
        <v>0.2897333701105067</v>
      </c>
    </row>
    <row r="482" spans="4:5" x14ac:dyDescent="0.25">
      <c r="D482">
        <v>459</v>
      </c>
      <c r="E482">
        <v>0.28098230671694502</v>
      </c>
    </row>
    <row r="483" spans="4:5" x14ac:dyDescent="0.25">
      <c r="D483">
        <v>460</v>
      </c>
      <c r="E483">
        <v>0.30779787946995868</v>
      </c>
    </row>
    <row r="484" spans="4:5" x14ac:dyDescent="0.25">
      <c r="D484">
        <v>461</v>
      </c>
      <c r="E484">
        <v>0.2980949664484</v>
      </c>
    </row>
    <row r="485" spans="4:5" x14ac:dyDescent="0.25">
      <c r="D485">
        <v>462</v>
      </c>
      <c r="E485">
        <v>0.29425234570598024</v>
      </c>
    </row>
    <row r="486" spans="4:5" x14ac:dyDescent="0.25">
      <c r="D486">
        <v>463</v>
      </c>
      <c r="E486">
        <v>0.28950121731471701</v>
      </c>
    </row>
    <row r="487" spans="4:5" x14ac:dyDescent="0.25">
      <c r="D487">
        <v>464</v>
      </c>
      <c r="E487">
        <v>0.30370450236538604</v>
      </c>
    </row>
    <row r="488" spans="4:5" x14ac:dyDescent="0.25">
      <c r="D488">
        <v>465</v>
      </c>
      <c r="E488">
        <v>0.3032943390457159</v>
      </c>
    </row>
    <row r="489" spans="4:5" x14ac:dyDescent="0.25">
      <c r="D489">
        <v>466</v>
      </c>
      <c r="E489">
        <v>0.28425643840274273</v>
      </c>
    </row>
    <row r="490" spans="4:5" x14ac:dyDescent="0.25">
      <c r="D490">
        <v>467</v>
      </c>
      <c r="E490">
        <v>0.29062757657661503</v>
      </c>
    </row>
    <row r="491" spans="4:5" x14ac:dyDescent="0.25">
      <c r="D491">
        <v>468</v>
      </c>
      <c r="E491">
        <v>0.30842526397519909</v>
      </c>
    </row>
    <row r="492" spans="4:5" x14ac:dyDescent="0.25">
      <c r="D492">
        <v>469</v>
      </c>
      <c r="E492">
        <v>0.2803612346215823</v>
      </c>
    </row>
    <row r="493" spans="4:5" x14ac:dyDescent="0.25">
      <c r="D493">
        <v>470</v>
      </c>
      <c r="E493">
        <v>0.27446046511348782</v>
      </c>
    </row>
    <row r="494" spans="4:5" x14ac:dyDescent="0.25">
      <c r="D494">
        <v>471</v>
      </c>
      <c r="E494">
        <v>0.28848058877686272</v>
      </c>
    </row>
    <row r="495" spans="4:5" x14ac:dyDescent="0.25">
      <c r="D495">
        <v>472</v>
      </c>
      <c r="E495">
        <v>0.31217294404664481</v>
      </c>
    </row>
    <row r="496" spans="4:5" x14ac:dyDescent="0.25">
      <c r="D496">
        <v>473</v>
      </c>
      <c r="E496">
        <v>0.27986012360137941</v>
      </c>
    </row>
    <row r="497" spans="4:5" x14ac:dyDescent="0.25">
      <c r="D497">
        <v>474</v>
      </c>
      <c r="E497">
        <v>0.2826178448843526</v>
      </c>
    </row>
    <row r="498" spans="4:5" x14ac:dyDescent="0.25">
      <c r="D498">
        <v>475</v>
      </c>
      <c r="E498">
        <v>0.29381304686853565</v>
      </c>
    </row>
    <row r="499" spans="4:5" x14ac:dyDescent="0.25">
      <c r="D499">
        <v>476</v>
      </c>
      <c r="E499">
        <v>0.31899003350041027</v>
      </c>
    </row>
    <row r="500" spans="4:5" x14ac:dyDescent="0.25">
      <c r="D500">
        <v>477</v>
      </c>
      <c r="E500">
        <v>0.28667020760541995</v>
      </c>
    </row>
    <row r="501" spans="4:5" x14ac:dyDescent="0.25">
      <c r="D501">
        <v>478</v>
      </c>
      <c r="E501">
        <v>0.30708120683574147</v>
      </c>
    </row>
    <row r="502" spans="4:5" x14ac:dyDescent="0.25">
      <c r="D502">
        <v>479</v>
      </c>
      <c r="E502">
        <v>0.28781559266184509</v>
      </c>
    </row>
    <row r="503" spans="4:5" x14ac:dyDescent="0.25">
      <c r="D503">
        <v>480</v>
      </c>
      <c r="E503">
        <v>0.31651078727611659</v>
      </c>
    </row>
    <row r="504" spans="4:5" x14ac:dyDescent="0.25">
      <c r="D504">
        <v>481</v>
      </c>
      <c r="E504">
        <v>0.31051771378073767</v>
      </c>
    </row>
    <row r="505" spans="4:5" x14ac:dyDescent="0.25">
      <c r="D505">
        <v>482</v>
      </c>
      <c r="E505">
        <v>0.30250291810879754</v>
      </c>
    </row>
    <row r="506" spans="4:5" x14ac:dyDescent="0.25">
      <c r="D506">
        <v>483</v>
      </c>
      <c r="E506">
        <v>0.30127009007706629</v>
      </c>
    </row>
    <row r="507" spans="4:5" x14ac:dyDescent="0.25">
      <c r="D507">
        <v>484</v>
      </c>
      <c r="E507">
        <v>0.32992422623881296</v>
      </c>
    </row>
    <row r="508" spans="4:5" x14ac:dyDescent="0.25">
      <c r="D508">
        <v>485</v>
      </c>
      <c r="E508">
        <v>0.32140054247608996</v>
      </c>
    </row>
    <row r="509" spans="4:5" x14ac:dyDescent="0.25">
      <c r="D509">
        <v>486</v>
      </c>
      <c r="E509">
        <v>0.32827976951896937</v>
      </c>
    </row>
    <row r="510" spans="4:5" x14ac:dyDescent="0.25">
      <c r="D510">
        <v>487</v>
      </c>
      <c r="E510">
        <v>0.29657296795932842</v>
      </c>
    </row>
    <row r="511" spans="4:5" x14ac:dyDescent="0.25">
      <c r="D511">
        <v>488</v>
      </c>
      <c r="E511">
        <v>0.27608394914901191</v>
      </c>
    </row>
    <row r="512" spans="4:5" x14ac:dyDescent="0.25">
      <c r="D512">
        <v>489</v>
      </c>
      <c r="E512">
        <v>0.29557568652509159</v>
      </c>
    </row>
    <row r="513" spans="4:5" x14ac:dyDescent="0.25">
      <c r="D513">
        <v>490</v>
      </c>
      <c r="E513">
        <v>0.29624335119529804</v>
      </c>
    </row>
    <row r="514" spans="4:5" x14ac:dyDescent="0.25">
      <c r="D514">
        <v>491</v>
      </c>
      <c r="E514">
        <v>0.29616736978908781</v>
      </c>
    </row>
    <row r="515" spans="4:5" x14ac:dyDescent="0.25">
      <c r="D515">
        <v>492</v>
      </c>
      <c r="E515">
        <v>0.29786859331538612</v>
      </c>
    </row>
    <row r="516" spans="4:5" x14ac:dyDescent="0.25">
      <c r="D516">
        <v>493</v>
      </c>
      <c r="E516">
        <v>0.29037521390873916</v>
      </c>
    </row>
    <row r="517" spans="4:5" x14ac:dyDescent="0.25">
      <c r="D517">
        <v>494</v>
      </c>
      <c r="E517">
        <v>0.27593257457882697</v>
      </c>
    </row>
    <row r="518" spans="4:5" x14ac:dyDescent="0.25">
      <c r="D518">
        <v>495</v>
      </c>
      <c r="E518">
        <v>0.30708928741068248</v>
      </c>
    </row>
    <row r="519" spans="4:5" x14ac:dyDescent="0.25">
      <c r="D519">
        <v>496</v>
      </c>
      <c r="E519">
        <v>0.30649512081833963</v>
      </c>
    </row>
    <row r="520" spans="4:5" x14ac:dyDescent="0.25">
      <c r="D520">
        <v>497</v>
      </c>
      <c r="E520">
        <v>0.29882015992908956</v>
      </c>
    </row>
    <row r="521" spans="4:5" x14ac:dyDescent="0.25">
      <c r="D521">
        <v>498</v>
      </c>
      <c r="E521">
        <v>0.29286576327847424</v>
      </c>
    </row>
    <row r="522" spans="4:5" x14ac:dyDescent="0.25">
      <c r="D522">
        <v>499</v>
      </c>
      <c r="E522">
        <v>0.28016412738585778</v>
      </c>
    </row>
    <row r="523" spans="4:5" x14ac:dyDescent="0.25">
      <c r="D523">
        <v>500</v>
      </c>
      <c r="E523">
        <v>0.30051391969965235</v>
      </c>
    </row>
    <row r="524" spans="4:5" x14ac:dyDescent="0.25">
      <c r="D524">
        <v>501</v>
      </c>
      <c r="E524">
        <v>0.32042410853874242</v>
      </c>
    </row>
    <row r="525" spans="4:5" x14ac:dyDescent="0.25">
      <c r="D525">
        <v>502</v>
      </c>
      <c r="E525">
        <v>0.31092913031328606</v>
      </c>
    </row>
    <row r="526" spans="4:5" x14ac:dyDescent="0.25">
      <c r="D526">
        <v>503</v>
      </c>
      <c r="E526">
        <v>0.32118838580727238</v>
      </c>
    </row>
    <row r="527" spans="4:5" x14ac:dyDescent="0.25">
      <c r="D527">
        <v>504</v>
      </c>
      <c r="E527">
        <v>0.30400648658420237</v>
      </c>
    </row>
    <row r="528" spans="4:5" x14ac:dyDescent="0.25">
      <c r="D528">
        <v>505</v>
      </c>
      <c r="E528">
        <v>0.28931855624797459</v>
      </c>
    </row>
    <row r="529" spans="4:5" x14ac:dyDescent="0.25">
      <c r="D529">
        <v>506</v>
      </c>
      <c r="E529">
        <v>0.27235663374741242</v>
      </c>
    </row>
    <row r="530" spans="4:5" x14ac:dyDescent="0.25">
      <c r="D530">
        <v>507</v>
      </c>
      <c r="E530">
        <v>0.316143317013375</v>
      </c>
    </row>
    <row r="531" spans="4:5" x14ac:dyDescent="0.25">
      <c r="D531">
        <v>508</v>
      </c>
      <c r="E531">
        <v>0.31176672271345679</v>
      </c>
    </row>
    <row r="532" spans="4:5" x14ac:dyDescent="0.25">
      <c r="D532">
        <v>509</v>
      </c>
      <c r="E532">
        <v>0.33623910841562382</v>
      </c>
    </row>
    <row r="533" spans="4:5" x14ac:dyDescent="0.25">
      <c r="D533">
        <v>510</v>
      </c>
      <c r="E533">
        <v>0.293442547456502</v>
      </c>
    </row>
    <row r="534" spans="4:5" x14ac:dyDescent="0.25">
      <c r="D534">
        <v>511</v>
      </c>
      <c r="E534">
        <v>0.32342176335963779</v>
      </c>
    </row>
    <row r="535" spans="4:5" x14ac:dyDescent="0.25">
      <c r="D535">
        <v>512</v>
      </c>
      <c r="E535">
        <v>0.30513012583871857</v>
      </c>
    </row>
    <row r="536" spans="4:5" x14ac:dyDescent="0.25">
      <c r="D536">
        <v>513</v>
      </c>
      <c r="E536">
        <v>0.328151721338235</v>
      </c>
    </row>
    <row r="537" spans="4:5" x14ac:dyDescent="0.25">
      <c r="D537">
        <v>514</v>
      </c>
      <c r="E537">
        <v>0.32135748450941759</v>
      </c>
    </row>
    <row r="538" spans="4:5" x14ac:dyDescent="0.25">
      <c r="D538">
        <v>515</v>
      </c>
      <c r="E538">
        <v>0.30049988677899064</v>
      </c>
    </row>
    <row r="539" spans="4:5" x14ac:dyDescent="0.25">
      <c r="D539">
        <v>516</v>
      </c>
      <c r="E539">
        <v>0.29446885815808832</v>
      </c>
    </row>
    <row r="540" spans="4:5" x14ac:dyDescent="0.25">
      <c r="D540">
        <v>517</v>
      </c>
      <c r="E540">
        <v>0.3098621569658892</v>
      </c>
    </row>
    <row r="541" spans="4:5" x14ac:dyDescent="0.25">
      <c r="D541">
        <v>518</v>
      </c>
      <c r="E541">
        <v>0.29860223999496072</v>
      </c>
    </row>
    <row r="542" spans="4:5" x14ac:dyDescent="0.25">
      <c r="D542">
        <v>519</v>
      </c>
      <c r="E542">
        <v>0.29573867581008301</v>
      </c>
    </row>
    <row r="543" spans="4:5" x14ac:dyDescent="0.25">
      <c r="D543">
        <v>520</v>
      </c>
      <c r="E543">
        <v>0.30989458237942052</v>
      </c>
    </row>
    <row r="544" spans="4:5" x14ac:dyDescent="0.25">
      <c r="D544">
        <v>521</v>
      </c>
      <c r="E544">
        <v>0.32482530403055743</v>
      </c>
    </row>
    <row r="545" spans="4:5" x14ac:dyDescent="0.25">
      <c r="D545">
        <v>522</v>
      </c>
      <c r="E545">
        <v>0.32479552794285149</v>
      </c>
    </row>
    <row r="546" spans="4:5" x14ac:dyDescent="0.25">
      <c r="D546">
        <v>523</v>
      </c>
      <c r="E546">
        <v>0.32025417566141395</v>
      </c>
    </row>
    <row r="547" spans="4:5" x14ac:dyDescent="0.25">
      <c r="D547">
        <v>524</v>
      </c>
      <c r="E547">
        <v>0.31509980507228647</v>
      </c>
    </row>
    <row r="548" spans="4:5" x14ac:dyDescent="0.25">
      <c r="D548">
        <v>525</v>
      </c>
      <c r="E548">
        <v>0.30170097262442386</v>
      </c>
    </row>
    <row r="549" spans="4:5" x14ac:dyDescent="0.25">
      <c r="D549">
        <v>526</v>
      </c>
      <c r="E549">
        <v>0.29876794153939068</v>
      </c>
    </row>
    <row r="550" spans="4:5" x14ac:dyDescent="0.25">
      <c r="D550">
        <v>527</v>
      </c>
      <c r="E550">
        <v>0.28069858385967189</v>
      </c>
    </row>
    <row r="551" spans="4:5" x14ac:dyDescent="0.25">
      <c r="D551">
        <v>528</v>
      </c>
      <c r="E551">
        <v>0.29790354224068372</v>
      </c>
    </row>
    <row r="552" spans="4:5" x14ac:dyDescent="0.25">
      <c r="D552">
        <v>529</v>
      </c>
      <c r="E552">
        <v>0.2876146189218578</v>
      </c>
    </row>
    <row r="553" spans="4:5" x14ac:dyDescent="0.25">
      <c r="D553">
        <v>530</v>
      </c>
      <c r="E553">
        <v>0.30735502768372341</v>
      </c>
    </row>
    <row r="554" spans="4:5" x14ac:dyDescent="0.25">
      <c r="D554">
        <v>531</v>
      </c>
      <c r="E554">
        <v>0.29343293121284847</v>
      </c>
    </row>
    <row r="555" spans="4:5" x14ac:dyDescent="0.25">
      <c r="D555">
        <v>532</v>
      </c>
      <c r="E555">
        <v>0.29031899646151799</v>
      </c>
    </row>
    <row r="556" spans="4:5" x14ac:dyDescent="0.25">
      <c r="D556">
        <v>533</v>
      </c>
      <c r="E556">
        <v>0.30930378887827248</v>
      </c>
    </row>
    <row r="557" spans="4:5" x14ac:dyDescent="0.25">
      <c r="D557">
        <v>534</v>
      </c>
      <c r="E557">
        <v>0.30224180234114562</v>
      </c>
    </row>
    <row r="558" spans="4:5" x14ac:dyDescent="0.25">
      <c r="D558">
        <v>535</v>
      </c>
      <c r="E558">
        <v>0.3310485770580624</v>
      </c>
    </row>
    <row r="559" spans="4:5" x14ac:dyDescent="0.25">
      <c r="D559">
        <v>536</v>
      </c>
      <c r="E559">
        <v>0.2948853262910201</v>
      </c>
    </row>
    <row r="560" spans="4:5" x14ac:dyDescent="0.25">
      <c r="D560">
        <v>537</v>
      </c>
      <c r="E560">
        <v>0.28447143143558967</v>
      </c>
    </row>
    <row r="561" spans="4:5" x14ac:dyDescent="0.25">
      <c r="D561">
        <v>538</v>
      </c>
      <c r="E561">
        <v>0.2894401365653424</v>
      </c>
    </row>
    <row r="562" spans="4:5" x14ac:dyDescent="0.25">
      <c r="D562">
        <v>539</v>
      </c>
      <c r="E562">
        <v>0.28578302706811531</v>
      </c>
    </row>
    <row r="563" spans="4:5" x14ac:dyDescent="0.25">
      <c r="D563">
        <v>540</v>
      </c>
      <c r="E563">
        <v>0.30374483727810592</v>
      </c>
    </row>
    <row r="564" spans="4:5" x14ac:dyDescent="0.25">
      <c r="D564">
        <v>541</v>
      </c>
      <c r="E564">
        <v>0.2752755692811456</v>
      </c>
    </row>
    <row r="565" spans="4:5" x14ac:dyDescent="0.25">
      <c r="D565">
        <v>542</v>
      </c>
      <c r="E565">
        <v>0.30352425786116322</v>
      </c>
    </row>
    <row r="566" spans="4:5" x14ac:dyDescent="0.25">
      <c r="D566">
        <v>543</v>
      </c>
      <c r="E566">
        <v>0.32349474147347884</v>
      </c>
    </row>
    <row r="567" spans="4:5" x14ac:dyDescent="0.25">
      <c r="D567">
        <v>544</v>
      </c>
      <c r="E567">
        <v>0.26073657639359321</v>
      </c>
    </row>
    <row r="568" spans="4:5" x14ac:dyDescent="0.25">
      <c r="D568">
        <v>545</v>
      </c>
      <c r="E568">
        <v>0.31472738828329289</v>
      </c>
    </row>
    <row r="569" spans="4:5" x14ac:dyDescent="0.25">
      <c r="D569">
        <v>546</v>
      </c>
      <c r="E569">
        <v>0.29058725133257668</v>
      </c>
    </row>
    <row r="570" spans="4:5" x14ac:dyDescent="0.25">
      <c r="D570">
        <v>547</v>
      </c>
      <c r="E570">
        <v>0.28235008125747346</v>
      </c>
    </row>
    <row r="571" spans="4:5" x14ac:dyDescent="0.25">
      <c r="D571">
        <v>548</v>
      </c>
      <c r="E571">
        <v>0.30706903573514455</v>
      </c>
    </row>
    <row r="572" spans="4:5" x14ac:dyDescent="0.25">
      <c r="D572">
        <v>549</v>
      </c>
      <c r="E572">
        <v>0.2916057020417836</v>
      </c>
    </row>
    <row r="573" spans="4:5" x14ac:dyDescent="0.25">
      <c r="D573">
        <v>550</v>
      </c>
      <c r="E573">
        <v>0.29560567924398562</v>
      </c>
    </row>
    <row r="574" spans="4:5" x14ac:dyDescent="0.25">
      <c r="D574">
        <v>551</v>
      </c>
      <c r="E574">
        <v>0.30309204999237305</v>
      </c>
    </row>
    <row r="575" spans="4:5" x14ac:dyDescent="0.25">
      <c r="D575">
        <v>552</v>
      </c>
      <c r="E575">
        <v>0.30236372309489229</v>
      </c>
    </row>
    <row r="576" spans="4:5" x14ac:dyDescent="0.25">
      <c r="D576">
        <v>553</v>
      </c>
      <c r="E576">
        <v>0.34348862879631276</v>
      </c>
    </row>
    <row r="577" spans="4:5" x14ac:dyDescent="0.25">
      <c r="D577">
        <v>554</v>
      </c>
      <c r="E577">
        <v>0.29558565152405103</v>
      </c>
    </row>
    <row r="578" spans="4:5" x14ac:dyDescent="0.25">
      <c r="D578">
        <v>555</v>
      </c>
      <c r="E578">
        <v>0.30776152299172449</v>
      </c>
    </row>
    <row r="579" spans="4:5" x14ac:dyDescent="0.25">
      <c r="D579">
        <v>556</v>
      </c>
      <c r="E579">
        <v>0.30090055359882484</v>
      </c>
    </row>
    <row r="580" spans="4:5" x14ac:dyDescent="0.25">
      <c r="D580">
        <v>557</v>
      </c>
      <c r="E580">
        <v>0.30188897357478844</v>
      </c>
    </row>
    <row r="581" spans="4:5" x14ac:dyDescent="0.25">
      <c r="D581">
        <v>558</v>
      </c>
      <c r="E581">
        <v>0.2614283743196596</v>
      </c>
    </row>
    <row r="582" spans="4:5" x14ac:dyDescent="0.25">
      <c r="D582">
        <v>559</v>
      </c>
      <c r="E582">
        <v>0.29047507708006942</v>
      </c>
    </row>
    <row r="583" spans="4:5" x14ac:dyDescent="0.25">
      <c r="D583">
        <v>560</v>
      </c>
      <c r="E583">
        <v>0.31265463752476441</v>
      </c>
    </row>
    <row r="584" spans="4:5" x14ac:dyDescent="0.25">
      <c r="D584">
        <v>561</v>
      </c>
      <c r="E584">
        <v>0.28630336256228961</v>
      </c>
    </row>
    <row r="585" spans="4:5" x14ac:dyDescent="0.25">
      <c r="D585">
        <v>562</v>
      </c>
      <c r="E585">
        <v>0.31929177934408126</v>
      </c>
    </row>
    <row r="586" spans="4:5" x14ac:dyDescent="0.25">
      <c r="D586">
        <v>563</v>
      </c>
      <c r="E586">
        <v>0.31482367297845298</v>
      </c>
    </row>
    <row r="587" spans="4:5" x14ac:dyDescent="0.25">
      <c r="D587">
        <v>564</v>
      </c>
      <c r="E587">
        <v>0.31125607469305572</v>
      </c>
    </row>
    <row r="588" spans="4:5" x14ac:dyDescent="0.25">
      <c r="D588">
        <v>565</v>
      </c>
      <c r="E588">
        <v>0.3146706211885516</v>
      </c>
    </row>
    <row r="589" spans="4:5" x14ac:dyDescent="0.25">
      <c r="D589">
        <v>566</v>
      </c>
      <c r="E589">
        <v>0.29129998634430154</v>
      </c>
    </row>
    <row r="590" spans="4:5" x14ac:dyDescent="0.25">
      <c r="D590">
        <v>567</v>
      </c>
      <c r="E590">
        <v>0.28274603451780517</v>
      </c>
    </row>
    <row r="591" spans="4:5" x14ac:dyDescent="0.25">
      <c r="D591">
        <v>568</v>
      </c>
      <c r="E591">
        <v>0.29012455419048416</v>
      </c>
    </row>
    <row r="592" spans="4:5" x14ac:dyDescent="0.25">
      <c r="D592">
        <v>569</v>
      </c>
      <c r="E592">
        <v>0.30303943365530761</v>
      </c>
    </row>
    <row r="593" spans="4:5" x14ac:dyDescent="0.25">
      <c r="D593">
        <v>570</v>
      </c>
      <c r="E593">
        <v>0.28992836078683915</v>
      </c>
    </row>
    <row r="594" spans="4:5" x14ac:dyDescent="0.25">
      <c r="D594">
        <v>571</v>
      </c>
      <c r="E594">
        <v>0.30051972891264833</v>
      </c>
    </row>
    <row r="595" spans="4:5" x14ac:dyDescent="0.25">
      <c r="D595">
        <v>572</v>
      </c>
      <c r="E595">
        <v>0.30676728289158928</v>
      </c>
    </row>
    <row r="596" spans="4:5" x14ac:dyDescent="0.25">
      <c r="D596">
        <v>573</v>
      </c>
      <c r="E596">
        <v>0.30553051516704888</v>
      </c>
    </row>
    <row r="597" spans="4:5" x14ac:dyDescent="0.25">
      <c r="D597">
        <v>574</v>
      </c>
      <c r="E597">
        <v>0.30238733107498694</v>
      </c>
    </row>
    <row r="598" spans="4:5" x14ac:dyDescent="0.25">
      <c r="D598">
        <v>575</v>
      </c>
      <c r="E598">
        <v>0.33907226997758239</v>
      </c>
    </row>
    <row r="599" spans="4:5" x14ac:dyDescent="0.25">
      <c r="D599">
        <v>576</v>
      </c>
      <c r="E599">
        <v>0.30237272033796908</v>
      </c>
    </row>
    <row r="600" spans="4:5" x14ac:dyDescent="0.25">
      <c r="D600">
        <v>577</v>
      </c>
      <c r="E600">
        <v>0.31224667019996571</v>
      </c>
    </row>
    <row r="601" spans="4:5" x14ac:dyDescent="0.25">
      <c r="D601">
        <v>578</v>
      </c>
      <c r="E601">
        <v>0.30108016152771844</v>
      </c>
    </row>
    <row r="602" spans="4:5" x14ac:dyDescent="0.25">
      <c r="D602">
        <v>579</v>
      </c>
      <c r="E602">
        <v>0.32144310623842759</v>
      </c>
    </row>
    <row r="603" spans="4:5" x14ac:dyDescent="0.25">
      <c r="D603">
        <v>580</v>
      </c>
      <c r="E603">
        <v>0.29611052126812831</v>
      </c>
    </row>
    <row r="604" spans="4:5" x14ac:dyDescent="0.25">
      <c r="D604">
        <v>581</v>
      </c>
      <c r="E604">
        <v>0.30739456392439174</v>
      </c>
    </row>
    <row r="605" spans="4:5" x14ac:dyDescent="0.25">
      <c r="D605">
        <v>582</v>
      </c>
      <c r="E605">
        <v>0.32030581893237331</v>
      </c>
    </row>
    <row r="606" spans="4:5" x14ac:dyDescent="0.25">
      <c r="D606">
        <v>583</v>
      </c>
      <c r="E606">
        <v>0.32735040128012388</v>
      </c>
    </row>
    <row r="607" spans="4:5" x14ac:dyDescent="0.25">
      <c r="D607">
        <v>584</v>
      </c>
      <c r="E607">
        <v>0.32566036223985889</v>
      </c>
    </row>
    <row r="608" spans="4:5" x14ac:dyDescent="0.25">
      <c r="D608">
        <v>585</v>
      </c>
      <c r="E608">
        <v>0.30386549215797826</v>
      </c>
    </row>
    <row r="609" spans="4:5" x14ac:dyDescent="0.25">
      <c r="D609">
        <v>586</v>
      </c>
      <c r="E609">
        <v>0.30235658381995772</v>
      </c>
    </row>
    <row r="610" spans="4:5" x14ac:dyDescent="0.25">
      <c r="D610">
        <v>587</v>
      </c>
      <c r="E610">
        <v>0.29987146343251442</v>
      </c>
    </row>
    <row r="611" spans="4:5" x14ac:dyDescent="0.25">
      <c r="D611">
        <v>588</v>
      </c>
      <c r="E611">
        <v>0.27987532666915943</v>
      </c>
    </row>
    <row r="612" spans="4:5" x14ac:dyDescent="0.25">
      <c r="D612">
        <v>589</v>
      </c>
      <c r="E612">
        <v>0.29568547304669968</v>
      </c>
    </row>
    <row r="613" spans="4:5" x14ac:dyDescent="0.25">
      <c r="D613">
        <v>590</v>
      </c>
      <c r="E613">
        <v>0.28403264239826947</v>
      </c>
    </row>
    <row r="614" spans="4:5" x14ac:dyDescent="0.25">
      <c r="D614">
        <v>591</v>
      </c>
      <c r="E614">
        <v>0.31232402529065084</v>
      </c>
    </row>
    <row r="615" spans="4:5" x14ac:dyDescent="0.25">
      <c r="D615">
        <v>592</v>
      </c>
      <c r="E615">
        <v>0.29033454822064142</v>
      </c>
    </row>
    <row r="616" spans="4:5" x14ac:dyDescent="0.25">
      <c r="D616">
        <v>593</v>
      </c>
      <c r="E616">
        <v>0.28210195387881537</v>
      </c>
    </row>
    <row r="617" spans="4:5" x14ac:dyDescent="0.25">
      <c r="D617">
        <v>594</v>
      </c>
      <c r="E617">
        <v>0.30326211631639277</v>
      </c>
    </row>
    <row r="618" spans="4:5" x14ac:dyDescent="0.25">
      <c r="D618">
        <v>595</v>
      </c>
      <c r="E618">
        <v>0.32357650346397088</v>
      </c>
    </row>
    <row r="619" spans="4:5" x14ac:dyDescent="0.25">
      <c r="D619">
        <v>596</v>
      </c>
      <c r="E619">
        <v>0.29953245566595932</v>
      </c>
    </row>
    <row r="620" spans="4:5" x14ac:dyDescent="0.25">
      <c r="D620">
        <v>597</v>
      </c>
      <c r="E620">
        <v>0.30550697546148492</v>
      </c>
    </row>
    <row r="621" spans="4:5" x14ac:dyDescent="0.25">
      <c r="D621">
        <v>598</v>
      </c>
      <c r="E621">
        <v>0.32409982054729519</v>
      </c>
    </row>
    <row r="622" spans="4:5" x14ac:dyDescent="0.25">
      <c r="D622">
        <v>599</v>
      </c>
      <c r="E622">
        <v>0.29463663431083797</v>
      </c>
    </row>
    <row r="623" spans="4:5" x14ac:dyDescent="0.25">
      <c r="D623">
        <v>600</v>
      </c>
      <c r="E623">
        <v>0.27809162685124555</v>
      </c>
    </row>
    <row r="624" spans="4:5" x14ac:dyDescent="0.25">
      <c r="D624">
        <v>601</v>
      </c>
      <c r="E624">
        <v>0.29993986680183771</v>
      </c>
    </row>
    <row r="625" spans="4:5" x14ac:dyDescent="0.25">
      <c r="D625">
        <v>602</v>
      </c>
      <c r="E625">
        <v>0.30434113048181127</v>
      </c>
    </row>
    <row r="626" spans="4:5" x14ac:dyDescent="0.25">
      <c r="D626">
        <v>603</v>
      </c>
      <c r="E626">
        <v>0.2671216419735607</v>
      </c>
    </row>
    <row r="627" spans="4:5" x14ac:dyDescent="0.25">
      <c r="D627">
        <v>604</v>
      </c>
      <c r="E627">
        <v>0.29992728971665855</v>
      </c>
    </row>
    <row r="628" spans="4:5" x14ac:dyDescent="0.25">
      <c r="D628">
        <v>605</v>
      </c>
      <c r="E628">
        <v>0.32184412336704837</v>
      </c>
    </row>
    <row r="629" spans="4:5" x14ac:dyDescent="0.25">
      <c r="D629">
        <v>606</v>
      </c>
      <c r="E629">
        <v>0.31421252973375297</v>
      </c>
    </row>
    <row r="630" spans="4:5" x14ac:dyDescent="0.25">
      <c r="D630">
        <v>607</v>
      </c>
      <c r="E630">
        <v>0.3049990773153648</v>
      </c>
    </row>
    <row r="631" spans="4:5" x14ac:dyDescent="0.25">
      <c r="D631">
        <v>608</v>
      </c>
      <c r="E631">
        <v>0.31269905821955107</v>
      </c>
    </row>
    <row r="632" spans="4:5" x14ac:dyDescent="0.25">
      <c r="D632">
        <v>609</v>
      </c>
      <c r="E632">
        <v>0.28701127853890246</v>
      </c>
    </row>
    <row r="633" spans="4:5" x14ac:dyDescent="0.25">
      <c r="D633">
        <v>610</v>
      </c>
      <c r="E633">
        <v>0.2957610253140559</v>
      </c>
    </row>
    <row r="634" spans="4:5" x14ac:dyDescent="0.25">
      <c r="D634">
        <v>611</v>
      </c>
      <c r="E634">
        <v>0.26890060411266131</v>
      </c>
    </row>
    <row r="635" spans="4:5" x14ac:dyDescent="0.25">
      <c r="D635">
        <v>612</v>
      </c>
      <c r="E635">
        <v>0.30500118330483711</v>
      </c>
    </row>
    <row r="636" spans="4:5" x14ac:dyDescent="0.25">
      <c r="D636">
        <v>613</v>
      </c>
      <c r="E636">
        <v>0.28223236319785622</v>
      </c>
    </row>
    <row r="637" spans="4:5" x14ac:dyDescent="0.25">
      <c r="D637">
        <v>614</v>
      </c>
      <c r="E637">
        <v>0.30328446374308971</v>
      </c>
    </row>
    <row r="638" spans="4:5" x14ac:dyDescent="0.25">
      <c r="D638">
        <v>615</v>
      </c>
      <c r="E638">
        <v>0.2866813616809239</v>
      </c>
    </row>
    <row r="639" spans="4:5" x14ac:dyDescent="0.25">
      <c r="D639">
        <v>616</v>
      </c>
      <c r="E639">
        <v>0.30730806218468959</v>
      </c>
    </row>
    <row r="640" spans="4:5" x14ac:dyDescent="0.25">
      <c r="D640">
        <v>617</v>
      </c>
      <c r="E640">
        <v>0.28618972887115302</v>
      </c>
    </row>
    <row r="641" spans="4:5" x14ac:dyDescent="0.25">
      <c r="D641">
        <v>618</v>
      </c>
      <c r="E641">
        <v>0.30483934805401897</v>
      </c>
    </row>
    <row r="642" spans="4:5" x14ac:dyDescent="0.25">
      <c r="D642">
        <v>619</v>
      </c>
      <c r="E642">
        <v>0.30980853484395471</v>
      </c>
    </row>
    <row r="643" spans="4:5" x14ac:dyDescent="0.25">
      <c r="D643">
        <v>620</v>
      </c>
      <c r="E643">
        <v>0.291421992719816</v>
      </c>
    </row>
    <row r="644" spans="4:5" x14ac:dyDescent="0.25">
      <c r="D644">
        <v>621</v>
      </c>
      <c r="E644">
        <v>0.31243354309996568</v>
      </c>
    </row>
    <row r="645" spans="4:5" x14ac:dyDescent="0.25">
      <c r="D645">
        <v>622</v>
      </c>
      <c r="E645">
        <v>0.28730932174878449</v>
      </c>
    </row>
    <row r="646" spans="4:5" x14ac:dyDescent="0.25">
      <c r="D646">
        <v>623</v>
      </c>
      <c r="E646">
        <v>0.29772856053733082</v>
      </c>
    </row>
    <row r="647" spans="4:5" x14ac:dyDescent="0.25">
      <c r="D647">
        <v>624</v>
      </c>
      <c r="E647">
        <v>0.30821092656365529</v>
      </c>
    </row>
    <row r="648" spans="4:5" x14ac:dyDescent="0.25">
      <c r="D648">
        <v>625</v>
      </c>
      <c r="E648">
        <v>0.31678775250774899</v>
      </c>
    </row>
    <row r="649" spans="4:5" x14ac:dyDescent="0.25">
      <c r="D649">
        <v>626</v>
      </c>
      <c r="E649">
        <v>0.30834428677430131</v>
      </c>
    </row>
    <row r="650" spans="4:5" x14ac:dyDescent="0.25">
      <c r="D650">
        <v>627</v>
      </c>
      <c r="E650">
        <v>0.30581454071928021</v>
      </c>
    </row>
    <row r="651" spans="4:5" x14ac:dyDescent="0.25">
      <c r="D651">
        <v>628</v>
      </c>
      <c r="E651">
        <v>0.30296201042046822</v>
      </c>
    </row>
    <row r="652" spans="4:5" x14ac:dyDescent="0.25">
      <c r="D652">
        <v>629</v>
      </c>
      <c r="E652">
        <v>0.28747895331952206</v>
      </c>
    </row>
    <row r="653" spans="4:5" x14ac:dyDescent="0.25">
      <c r="D653">
        <v>630</v>
      </c>
      <c r="E653">
        <v>0.27911383813388585</v>
      </c>
    </row>
    <row r="654" spans="4:5" x14ac:dyDescent="0.25">
      <c r="D654">
        <v>631</v>
      </c>
      <c r="E654">
        <v>0.28282458350536216</v>
      </c>
    </row>
    <row r="655" spans="4:5" x14ac:dyDescent="0.25">
      <c r="D655">
        <v>632</v>
      </c>
      <c r="E655">
        <v>0.30710347102333596</v>
      </c>
    </row>
    <row r="656" spans="4:5" x14ac:dyDescent="0.25">
      <c r="D656">
        <v>633</v>
      </c>
      <c r="E656">
        <v>0.3049433894253426</v>
      </c>
    </row>
    <row r="657" spans="4:5" x14ac:dyDescent="0.25">
      <c r="D657">
        <v>634</v>
      </c>
      <c r="E657">
        <v>0.28653518648931403</v>
      </c>
    </row>
    <row r="658" spans="4:5" x14ac:dyDescent="0.25">
      <c r="D658">
        <v>635</v>
      </c>
      <c r="E658">
        <v>0.2807751265979701</v>
      </c>
    </row>
    <row r="659" spans="4:5" x14ac:dyDescent="0.25">
      <c r="D659">
        <v>636</v>
      </c>
      <c r="E659">
        <v>0.31578159122124277</v>
      </c>
    </row>
    <row r="660" spans="4:5" x14ac:dyDescent="0.25">
      <c r="D660">
        <v>637</v>
      </c>
      <c r="E660">
        <v>0.30138533437811382</v>
      </c>
    </row>
    <row r="661" spans="4:5" x14ac:dyDescent="0.25">
      <c r="D661">
        <v>638</v>
      </c>
      <c r="E661">
        <v>0.29785916634264831</v>
      </c>
    </row>
    <row r="662" spans="4:5" x14ac:dyDescent="0.25">
      <c r="D662">
        <v>639</v>
      </c>
      <c r="E662">
        <v>0.30697565452164605</v>
      </c>
    </row>
    <row r="663" spans="4:5" x14ac:dyDescent="0.25">
      <c r="D663">
        <v>640</v>
      </c>
      <c r="E663">
        <v>0.28631097152825608</v>
      </c>
    </row>
    <row r="664" spans="4:5" x14ac:dyDescent="0.25">
      <c r="D664">
        <v>641</v>
      </c>
      <c r="E664">
        <v>0.31197742811655332</v>
      </c>
    </row>
    <row r="665" spans="4:5" x14ac:dyDescent="0.25">
      <c r="D665">
        <v>642</v>
      </c>
      <c r="E665">
        <v>0.29990033387391557</v>
      </c>
    </row>
    <row r="666" spans="4:5" x14ac:dyDescent="0.25">
      <c r="D666">
        <v>643</v>
      </c>
      <c r="E666">
        <v>0.29375277772898795</v>
      </c>
    </row>
    <row r="667" spans="4:5" x14ac:dyDescent="0.25">
      <c r="D667">
        <v>644</v>
      </c>
      <c r="E667">
        <v>0.27085453638331847</v>
      </c>
    </row>
    <row r="668" spans="4:5" x14ac:dyDescent="0.25">
      <c r="D668">
        <v>645</v>
      </c>
      <c r="E668">
        <v>0.28481167552634107</v>
      </c>
    </row>
    <row r="669" spans="4:5" x14ac:dyDescent="0.25">
      <c r="D669">
        <v>646</v>
      </c>
      <c r="E669">
        <v>0.31212923522040714</v>
      </c>
    </row>
    <row r="670" spans="4:5" x14ac:dyDescent="0.25">
      <c r="D670">
        <v>647</v>
      </c>
      <c r="E670">
        <v>0.30097082205775916</v>
      </c>
    </row>
    <row r="671" spans="4:5" x14ac:dyDescent="0.25">
      <c r="D671">
        <v>648</v>
      </c>
      <c r="E671">
        <v>0.29622540411389409</v>
      </c>
    </row>
    <row r="672" spans="4:5" x14ac:dyDescent="0.25">
      <c r="D672">
        <v>649</v>
      </c>
      <c r="E672">
        <v>0.27595385629086272</v>
      </c>
    </row>
    <row r="673" spans="4:5" x14ac:dyDescent="0.25">
      <c r="D673">
        <v>650</v>
      </c>
      <c r="E673">
        <v>0.32912816057173472</v>
      </c>
    </row>
    <row r="674" spans="4:5" x14ac:dyDescent="0.25">
      <c r="D674">
        <v>651</v>
      </c>
      <c r="E674">
        <v>0.33076908146058742</v>
      </c>
    </row>
    <row r="675" spans="4:5" x14ac:dyDescent="0.25">
      <c r="D675">
        <v>652</v>
      </c>
      <c r="E675">
        <v>0.32211174157517475</v>
      </c>
    </row>
    <row r="676" spans="4:5" x14ac:dyDescent="0.25">
      <c r="D676">
        <v>653</v>
      </c>
      <c r="E676">
        <v>0.29590996288199362</v>
      </c>
    </row>
    <row r="677" spans="4:5" x14ac:dyDescent="0.25">
      <c r="D677">
        <v>654</v>
      </c>
      <c r="E677">
        <v>0.30521121326075634</v>
      </c>
    </row>
    <row r="678" spans="4:5" x14ac:dyDescent="0.25">
      <c r="D678">
        <v>655</v>
      </c>
      <c r="E678">
        <v>0.29550605810657116</v>
      </c>
    </row>
    <row r="679" spans="4:5" x14ac:dyDescent="0.25">
      <c r="D679">
        <v>656</v>
      </c>
      <c r="E679">
        <v>0.29701297545732636</v>
      </c>
    </row>
    <row r="680" spans="4:5" x14ac:dyDescent="0.25">
      <c r="D680">
        <v>657</v>
      </c>
      <c r="E680">
        <v>0.29774737874171808</v>
      </c>
    </row>
    <row r="681" spans="4:5" x14ac:dyDescent="0.25">
      <c r="D681">
        <v>658</v>
      </c>
      <c r="E681">
        <v>0.30968471940923059</v>
      </c>
    </row>
    <row r="682" spans="4:5" x14ac:dyDescent="0.25">
      <c r="D682">
        <v>659</v>
      </c>
      <c r="E682">
        <v>0.26743005419898697</v>
      </c>
    </row>
    <row r="683" spans="4:5" x14ac:dyDescent="0.25">
      <c r="D683">
        <v>660</v>
      </c>
      <c r="E683">
        <v>0.2846037982466515</v>
      </c>
    </row>
    <row r="684" spans="4:5" x14ac:dyDescent="0.25">
      <c r="D684">
        <v>661</v>
      </c>
      <c r="E684">
        <v>0.31322145498343018</v>
      </c>
    </row>
    <row r="685" spans="4:5" x14ac:dyDescent="0.25">
      <c r="D685">
        <v>662</v>
      </c>
      <c r="E685">
        <v>0.30381958945377052</v>
      </c>
    </row>
    <row r="686" spans="4:5" x14ac:dyDescent="0.25">
      <c r="D686">
        <v>663</v>
      </c>
      <c r="E686">
        <v>0.3015014195828532</v>
      </c>
    </row>
    <row r="687" spans="4:5" x14ac:dyDescent="0.25">
      <c r="D687">
        <v>664</v>
      </c>
      <c r="E687">
        <v>0.27779943755985159</v>
      </c>
    </row>
    <row r="688" spans="4:5" x14ac:dyDescent="0.25">
      <c r="D688">
        <v>665</v>
      </c>
      <c r="E688">
        <v>0.29478341541610237</v>
      </c>
    </row>
    <row r="689" spans="4:5" x14ac:dyDescent="0.25">
      <c r="D689">
        <v>666</v>
      </c>
      <c r="E689">
        <v>0.29072598601073102</v>
      </c>
    </row>
    <row r="690" spans="4:5" x14ac:dyDescent="0.25">
      <c r="D690">
        <v>667</v>
      </c>
      <c r="E690">
        <v>0.2971475606126382</v>
      </c>
    </row>
    <row r="691" spans="4:5" x14ac:dyDescent="0.25">
      <c r="D691">
        <v>668</v>
      </c>
      <c r="E691">
        <v>0.28236913792094109</v>
      </c>
    </row>
    <row r="692" spans="4:5" x14ac:dyDescent="0.25">
      <c r="D692">
        <v>669</v>
      </c>
      <c r="E692">
        <v>0.29182633498738625</v>
      </c>
    </row>
    <row r="693" spans="4:5" x14ac:dyDescent="0.25">
      <c r="D693">
        <v>670</v>
      </c>
      <c r="E693">
        <v>0.31003726195011166</v>
      </c>
    </row>
    <row r="694" spans="4:5" x14ac:dyDescent="0.25">
      <c r="D694">
        <v>671</v>
      </c>
      <c r="E694">
        <v>0.29725264226602977</v>
      </c>
    </row>
    <row r="695" spans="4:5" x14ac:dyDescent="0.25">
      <c r="D695">
        <v>672</v>
      </c>
      <c r="E695">
        <v>0.30518348945675394</v>
      </c>
    </row>
    <row r="696" spans="4:5" x14ac:dyDescent="0.25">
      <c r="D696">
        <v>673</v>
      </c>
      <c r="E696">
        <v>0.31421358044506859</v>
      </c>
    </row>
    <row r="697" spans="4:5" x14ac:dyDescent="0.25">
      <c r="D697">
        <v>674</v>
      </c>
      <c r="E697">
        <v>0.30278036050566765</v>
      </c>
    </row>
    <row r="698" spans="4:5" x14ac:dyDescent="0.25">
      <c r="D698">
        <v>675</v>
      </c>
      <c r="E698">
        <v>0.28675980826856512</v>
      </c>
    </row>
    <row r="699" spans="4:5" x14ac:dyDescent="0.25">
      <c r="D699">
        <v>676</v>
      </c>
      <c r="E699">
        <v>0.28329883605361977</v>
      </c>
    </row>
    <row r="700" spans="4:5" x14ac:dyDescent="0.25">
      <c r="D700">
        <v>677</v>
      </c>
      <c r="E700">
        <v>0.33732698026136976</v>
      </c>
    </row>
    <row r="701" spans="4:5" x14ac:dyDescent="0.25">
      <c r="D701">
        <v>678</v>
      </c>
      <c r="E701">
        <v>0.30877387490681046</v>
      </c>
    </row>
    <row r="702" spans="4:5" x14ac:dyDescent="0.25">
      <c r="D702">
        <v>679</v>
      </c>
      <c r="E702">
        <v>0.30363782899466157</v>
      </c>
    </row>
    <row r="703" spans="4:5" x14ac:dyDescent="0.25">
      <c r="D703">
        <v>680</v>
      </c>
      <c r="E703">
        <v>0.29194579974796508</v>
      </c>
    </row>
    <row r="704" spans="4:5" x14ac:dyDescent="0.25">
      <c r="D704">
        <v>681</v>
      </c>
      <c r="E704">
        <v>0.30513646488900659</v>
      </c>
    </row>
    <row r="705" spans="4:5" x14ac:dyDescent="0.25">
      <c r="D705">
        <v>682</v>
      </c>
      <c r="E705">
        <v>0.31282109537238317</v>
      </c>
    </row>
    <row r="706" spans="4:5" x14ac:dyDescent="0.25">
      <c r="D706">
        <v>683</v>
      </c>
      <c r="E706">
        <v>0.28201439310711113</v>
      </c>
    </row>
    <row r="707" spans="4:5" x14ac:dyDescent="0.25">
      <c r="D707">
        <v>684</v>
      </c>
      <c r="E707">
        <v>0.29826252265419345</v>
      </c>
    </row>
    <row r="708" spans="4:5" x14ac:dyDescent="0.25">
      <c r="D708">
        <v>685</v>
      </c>
      <c r="E708">
        <v>0.28913373169749429</v>
      </c>
    </row>
    <row r="709" spans="4:5" x14ac:dyDescent="0.25">
      <c r="D709">
        <v>686</v>
      </c>
      <c r="E709">
        <v>0.33356389149031768</v>
      </c>
    </row>
    <row r="710" spans="4:5" x14ac:dyDescent="0.25">
      <c r="D710">
        <v>687</v>
      </c>
      <c r="E710">
        <v>0.30212468034002182</v>
      </c>
    </row>
    <row r="711" spans="4:5" x14ac:dyDescent="0.25">
      <c r="D711">
        <v>688</v>
      </c>
      <c r="E711">
        <v>0.28673051195648019</v>
      </c>
    </row>
    <row r="712" spans="4:5" x14ac:dyDescent="0.25">
      <c r="D712">
        <v>689</v>
      </c>
      <c r="E712">
        <v>0.3207766139402361</v>
      </c>
    </row>
    <row r="713" spans="4:5" x14ac:dyDescent="0.25">
      <c r="D713">
        <v>690</v>
      </c>
      <c r="E713">
        <v>0.29278837352601311</v>
      </c>
    </row>
    <row r="714" spans="4:5" x14ac:dyDescent="0.25">
      <c r="D714">
        <v>691</v>
      </c>
      <c r="E714">
        <v>0.25841441176576235</v>
      </c>
    </row>
    <row r="715" spans="4:5" x14ac:dyDescent="0.25">
      <c r="D715">
        <v>692</v>
      </c>
      <c r="E715">
        <v>0.29441778710439132</v>
      </c>
    </row>
    <row r="716" spans="4:5" x14ac:dyDescent="0.25">
      <c r="D716">
        <v>693</v>
      </c>
      <c r="E716">
        <v>0.30290684473905222</v>
      </c>
    </row>
    <row r="717" spans="4:5" x14ac:dyDescent="0.25">
      <c r="D717">
        <v>694</v>
      </c>
      <c r="E717">
        <v>0.3305178654383405</v>
      </c>
    </row>
    <row r="718" spans="4:5" x14ac:dyDescent="0.25">
      <c r="D718">
        <v>695</v>
      </c>
      <c r="E718">
        <v>0.30706793361533841</v>
      </c>
    </row>
    <row r="719" spans="4:5" x14ac:dyDescent="0.25">
      <c r="D719">
        <v>696</v>
      </c>
      <c r="E719">
        <v>0.29537374677616551</v>
      </c>
    </row>
    <row r="720" spans="4:5" x14ac:dyDescent="0.25">
      <c r="D720">
        <v>697</v>
      </c>
      <c r="E720">
        <v>0.27861147515463702</v>
      </c>
    </row>
    <row r="721" spans="4:5" x14ac:dyDescent="0.25">
      <c r="D721">
        <v>698</v>
      </c>
      <c r="E721">
        <v>0.3124028381103181</v>
      </c>
    </row>
    <row r="722" spans="4:5" x14ac:dyDescent="0.25">
      <c r="D722">
        <v>699</v>
      </c>
      <c r="E722">
        <v>0.26046639236184921</v>
      </c>
    </row>
    <row r="723" spans="4:5" x14ac:dyDescent="0.25">
      <c r="D723">
        <v>700</v>
      </c>
      <c r="E723">
        <v>0.30816487073052745</v>
      </c>
    </row>
    <row r="724" spans="4:5" x14ac:dyDescent="0.25">
      <c r="D724">
        <v>701</v>
      </c>
      <c r="E724">
        <v>0.31714227035273096</v>
      </c>
    </row>
    <row r="725" spans="4:5" x14ac:dyDescent="0.25">
      <c r="D725">
        <v>702</v>
      </c>
      <c r="E725">
        <v>0.28709976035429513</v>
      </c>
    </row>
    <row r="726" spans="4:5" x14ac:dyDescent="0.25">
      <c r="D726">
        <v>703</v>
      </c>
      <c r="E726">
        <v>0.29460709660223444</v>
      </c>
    </row>
    <row r="727" spans="4:5" x14ac:dyDescent="0.25">
      <c r="D727">
        <v>704</v>
      </c>
      <c r="E727">
        <v>0.29388475606629527</v>
      </c>
    </row>
    <row r="728" spans="4:5" x14ac:dyDescent="0.25">
      <c r="D728">
        <v>705</v>
      </c>
      <c r="E728">
        <v>0.34201327921455499</v>
      </c>
    </row>
    <row r="729" spans="4:5" x14ac:dyDescent="0.25">
      <c r="D729">
        <v>706</v>
      </c>
      <c r="E729">
        <v>0.2853427223171201</v>
      </c>
    </row>
    <row r="730" spans="4:5" x14ac:dyDescent="0.25">
      <c r="D730">
        <v>707</v>
      </c>
      <c r="E730">
        <v>0.28963580473481126</v>
      </c>
    </row>
    <row r="731" spans="4:5" x14ac:dyDescent="0.25">
      <c r="D731">
        <v>708</v>
      </c>
      <c r="E731">
        <v>0.28316646735652728</v>
      </c>
    </row>
    <row r="732" spans="4:5" x14ac:dyDescent="0.25">
      <c r="D732">
        <v>709</v>
      </c>
      <c r="E732">
        <v>0.30216466079306709</v>
      </c>
    </row>
    <row r="733" spans="4:5" x14ac:dyDescent="0.25">
      <c r="D733">
        <v>710</v>
      </c>
      <c r="E733">
        <v>0.30528087130012582</v>
      </c>
    </row>
    <row r="734" spans="4:5" x14ac:dyDescent="0.25">
      <c r="D734">
        <v>711</v>
      </c>
      <c r="E734">
        <v>0.27306627450744436</v>
      </c>
    </row>
    <row r="735" spans="4:5" x14ac:dyDescent="0.25">
      <c r="D735">
        <v>712</v>
      </c>
      <c r="E735">
        <v>0.27975684982253346</v>
      </c>
    </row>
    <row r="736" spans="4:5" x14ac:dyDescent="0.25">
      <c r="D736">
        <v>713</v>
      </c>
      <c r="E736">
        <v>0.26869541871899616</v>
      </c>
    </row>
    <row r="737" spans="4:5" x14ac:dyDescent="0.25">
      <c r="D737">
        <v>714</v>
      </c>
      <c r="E737">
        <v>0.3072531829104852</v>
      </c>
    </row>
    <row r="738" spans="4:5" x14ac:dyDescent="0.25">
      <c r="D738">
        <v>715</v>
      </c>
      <c r="E738">
        <v>0.3038916272806324</v>
      </c>
    </row>
    <row r="739" spans="4:5" x14ac:dyDescent="0.25">
      <c r="D739">
        <v>716</v>
      </c>
      <c r="E739">
        <v>0.29738763611131036</v>
      </c>
    </row>
    <row r="740" spans="4:5" x14ac:dyDescent="0.25">
      <c r="D740">
        <v>717</v>
      </c>
      <c r="E740">
        <v>0.29843276320336187</v>
      </c>
    </row>
    <row r="741" spans="4:5" x14ac:dyDescent="0.25">
      <c r="D741">
        <v>718</v>
      </c>
      <c r="E741">
        <v>0.33135420426891909</v>
      </c>
    </row>
    <row r="742" spans="4:5" x14ac:dyDescent="0.25">
      <c r="D742">
        <v>719</v>
      </c>
      <c r="E742">
        <v>0.3060666342261481</v>
      </c>
    </row>
    <row r="743" spans="4:5" x14ac:dyDescent="0.25">
      <c r="D743">
        <v>720</v>
      </c>
      <c r="E743">
        <v>0.31485844505879962</v>
      </c>
    </row>
    <row r="744" spans="4:5" x14ac:dyDescent="0.25">
      <c r="D744">
        <v>721</v>
      </c>
      <c r="E744">
        <v>0.28921048823258771</v>
      </c>
    </row>
    <row r="745" spans="4:5" x14ac:dyDescent="0.25">
      <c r="D745">
        <v>722</v>
      </c>
      <c r="E745">
        <v>0.29331871321228559</v>
      </c>
    </row>
    <row r="746" spans="4:5" x14ac:dyDescent="0.25">
      <c r="D746">
        <v>723</v>
      </c>
      <c r="E746">
        <v>0.32388514152312048</v>
      </c>
    </row>
    <row r="747" spans="4:5" x14ac:dyDescent="0.25">
      <c r="D747">
        <v>724</v>
      </c>
      <c r="E747">
        <v>0.27688071967488065</v>
      </c>
    </row>
    <row r="748" spans="4:5" x14ac:dyDescent="0.25">
      <c r="D748">
        <v>725</v>
      </c>
      <c r="E748">
        <v>0.2849801072112475</v>
      </c>
    </row>
    <row r="749" spans="4:5" x14ac:dyDescent="0.25">
      <c r="D749">
        <v>726</v>
      </c>
      <c r="E749">
        <v>0.29236267279099282</v>
      </c>
    </row>
    <row r="750" spans="4:5" x14ac:dyDescent="0.25">
      <c r="D750">
        <v>727</v>
      </c>
      <c r="E750">
        <v>0.30889962892762346</v>
      </c>
    </row>
    <row r="751" spans="4:5" x14ac:dyDescent="0.25">
      <c r="D751">
        <v>728</v>
      </c>
      <c r="E751">
        <v>0.28064044861280818</v>
      </c>
    </row>
    <row r="752" spans="4:5" x14ac:dyDescent="0.25">
      <c r="D752">
        <v>729</v>
      </c>
      <c r="E752">
        <v>0.30108951084238128</v>
      </c>
    </row>
    <row r="753" spans="4:5" x14ac:dyDescent="0.25">
      <c r="D753">
        <v>730</v>
      </c>
      <c r="E753">
        <v>0.29217915645361509</v>
      </c>
    </row>
    <row r="754" spans="4:5" x14ac:dyDescent="0.25">
      <c r="D754">
        <v>731</v>
      </c>
      <c r="E754">
        <v>0.31116992435504198</v>
      </c>
    </row>
    <row r="755" spans="4:5" x14ac:dyDescent="0.25">
      <c r="D755">
        <v>732</v>
      </c>
      <c r="E755">
        <v>0.26951427744803769</v>
      </c>
    </row>
    <row r="756" spans="4:5" x14ac:dyDescent="0.25">
      <c r="D756">
        <v>733</v>
      </c>
      <c r="E756">
        <v>0.31761552812619798</v>
      </c>
    </row>
    <row r="757" spans="4:5" x14ac:dyDescent="0.25">
      <c r="D757">
        <v>734</v>
      </c>
      <c r="E757">
        <v>0.32422089479405425</v>
      </c>
    </row>
    <row r="758" spans="4:5" x14ac:dyDescent="0.25">
      <c r="D758">
        <v>735</v>
      </c>
      <c r="E758">
        <v>0.28860519873419521</v>
      </c>
    </row>
    <row r="759" spans="4:5" x14ac:dyDescent="0.25">
      <c r="D759">
        <v>736</v>
      </c>
      <c r="E759">
        <v>0.29782463234482204</v>
      </c>
    </row>
    <row r="760" spans="4:5" x14ac:dyDescent="0.25">
      <c r="D760">
        <v>737</v>
      </c>
      <c r="E760">
        <v>0.29672625648101136</v>
      </c>
    </row>
    <row r="761" spans="4:5" x14ac:dyDescent="0.25">
      <c r="D761">
        <v>738</v>
      </c>
      <c r="E761">
        <v>0.2725075283536128</v>
      </c>
    </row>
    <row r="762" spans="4:5" x14ac:dyDescent="0.25">
      <c r="D762">
        <v>739</v>
      </c>
      <c r="E762">
        <v>0.31277164293761317</v>
      </c>
    </row>
    <row r="763" spans="4:5" x14ac:dyDescent="0.25">
      <c r="D763">
        <v>740</v>
      </c>
      <c r="E763">
        <v>0.29072649524242905</v>
      </c>
    </row>
    <row r="764" spans="4:5" x14ac:dyDescent="0.25">
      <c r="D764">
        <v>741</v>
      </c>
      <c r="E764">
        <v>0.28858736708580174</v>
      </c>
    </row>
    <row r="765" spans="4:5" x14ac:dyDescent="0.25">
      <c r="D765">
        <v>742</v>
      </c>
      <c r="E765">
        <v>0.28522860939624639</v>
      </c>
    </row>
    <row r="766" spans="4:5" x14ac:dyDescent="0.25">
      <c r="D766">
        <v>743</v>
      </c>
      <c r="E766">
        <v>0.30375729437379412</v>
      </c>
    </row>
    <row r="767" spans="4:5" x14ac:dyDescent="0.25">
      <c r="D767">
        <v>744</v>
      </c>
      <c r="E767">
        <v>0.31284361536703664</v>
      </c>
    </row>
    <row r="768" spans="4:5" x14ac:dyDescent="0.25">
      <c r="D768">
        <v>745</v>
      </c>
      <c r="E768">
        <v>0.33493447302212803</v>
      </c>
    </row>
    <row r="769" spans="4:5" x14ac:dyDescent="0.25">
      <c r="D769">
        <v>746</v>
      </c>
      <c r="E769">
        <v>0.2859391914101419</v>
      </c>
    </row>
    <row r="770" spans="4:5" x14ac:dyDescent="0.25">
      <c r="D770">
        <v>747</v>
      </c>
      <c r="E770">
        <v>0.29922864994762122</v>
      </c>
    </row>
    <row r="771" spans="4:5" x14ac:dyDescent="0.25">
      <c r="D771">
        <v>748</v>
      </c>
      <c r="E771">
        <v>0.2951074433972779</v>
      </c>
    </row>
    <row r="772" spans="4:5" x14ac:dyDescent="0.25">
      <c r="D772">
        <v>749</v>
      </c>
      <c r="E772">
        <v>0.27030782791270735</v>
      </c>
    </row>
    <row r="773" spans="4:5" x14ac:dyDescent="0.25">
      <c r="D773">
        <v>750</v>
      </c>
      <c r="E773">
        <v>0.30259788085787709</v>
      </c>
    </row>
    <row r="774" spans="4:5" x14ac:dyDescent="0.25">
      <c r="D774">
        <v>751</v>
      </c>
      <c r="E774">
        <v>0.28778827219276082</v>
      </c>
    </row>
    <row r="775" spans="4:5" x14ac:dyDescent="0.25">
      <c r="D775">
        <v>752</v>
      </c>
      <c r="E775">
        <v>0.30516881702393467</v>
      </c>
    </row>
    <row r="776" spans="4:5" x14ac:dyDescent="0.25">
      <c r="D776">
        <v>753</v>
      </c>
      <c r="E776">
        <v>0.30132483011481592</v>
      </c>
    </row>
    <row r="777" spans="4:5" x14ac:dyDescent="0.25">
      <c r="D777">
        <v>754</v>
      </c>
      <c r="E777">
        <v>0.31192672026938145</v>
      </c>
    </row>
    <row r="778" spans="4:5" x14ac:dyDescent="0.25">
      <c r="D778">
        <v>755</v>
      </c>
      <c r="E778">
        <v>0.28318970570522589</v>
      </c>
    </row>
    <row r="779" spans="4:5" x14ac:dyDescent="0.25">
      <c r="D779">
        <v>756</v>
      </c>
      <c r="E779">
        <v>0.30885577849313089</v>
      </c>
    </row>
    <row r="780" spans="4:5" x14ac:dyDescent="0.25">
      <c r="D780">
        <v>757</v>
      </c>
      <c r="E780">
        <v>0.30852799367386441</v>
      </c>
    </row>
    <row r="781" spans="4:5" x14ac:dyDescent="0.25">
      <c r="D781">
        <v>758</v>
      </c>
      <c r="E781">
        <v>0.30635526744772179</v>
      </c>
    </row>
    <row r="782" spans="4:5" x14ac:dyDescent="0.25">
      <c r="D782">
        <v>759</v>
      </c>
      <c r="E782">
        <v>0.27566112144054128</v>
      </c>
    </row>
    <row r="783" spans="4:5" x14ac:dyDescent="0.25">
      <c r="D783">
        <v>760</v>
      </c>
      <c r="E783">
        <v>0.31803724460466981</v>
      </c>
    </row>
    <row r="784" spans="4:5" x14ac:dyDescent="0.25">
      <c r="D784">
        <v>761</v>
      </c>
      <c r="E784">
        <v>0.30878686041411496</v>
      </c>
    </row>
    <row r="785" spans="4:5" x14ac:dyDescent="0.25">
      <c r="D785">
        <v>762</v>
      </c>
      <c r="E785">
        <v>0.30329578575240851</v>
      </c>
    </row>
    <row r="786" spans="4:5" x14ac:dyDescent="0.25">
      <c r="D786">
        <v>763</v>
      </c>
      <c r="E786">
        <v>0.29230790671245482</v>
      </c>
    </row>
    <row r="787" spans="4:5" x14ac:dyDescent="0.25">
      <c r="D787">
        <v>764</v>
      </c>
      <c r="E787">
        <v>0.2935918215671639</v>
      </c>
    </row>
    <row r="788" spans="4:5" x14ac:dyDescent="0.25">
      <c r="D788">
        <v>765</v>
      </c>
      <c r="E788">
        <v>0.31384206360610356</v>
      </c>
    </row>
    <row r="789" spans="4:5" x14ac:dyDescent="0.25">
      <c r="D789">
        <v>766</v>
      </c>
      <c r="E789">
        <v>0.32940605213159968</v>
      </c>
    </row>
    <row r="790" spans="4:5" x14ac:dyDescent="0.25">
      <c r="D790">
        <v>767</v>
      </c>
      <c r="E790">
        <v>0.28919629184463486</v>
      </c>
    </row>
    <row r="791" spans="4:5" x14ac:dyDescent="0.25">
      <c r="D791">
        <v>768</v>
      </c>
      <c r="E791">
        <v>0.27817859415420121</v>
      </c>
    </row>
    <row r="792" spans="4:5" x14ac:dyDescent="0.25">
      <c r="D792">
        <v>769</v>
      </c>
      <c r="E792">
        <v>0.30165793451419348</v>
      </c>
    </row>
    <row r="793" spans="4:5" x14ac:dyDescent="0.25">
      <c r="D793">
        <v>770</v>
      </c>
      <c r="E793">
        <v>0.31036260353081402</v>
      </c>
    </row>
    <row r="794" spans="4:5" x14ac:dyDescent="0.25">
      <c r="D794">
        <v>771</v>
      </c>
      <c r="E794">
        <v>0.29298639507491542</v>
      </c>
    </row>
    <row r="795" spans="4:5" x14ac:dyDescent="0.25">
      <c r="D795">
        <v>772</v>
      </c>
      <c r="E795">
        <v>0.30324625838303226</v>
      </c>
    </row>
    <row r="796" spans="4:5" x14ac:dyDescent="0.25">
      <c r="D796">
        <v>773</v>
      </c>
      <c r="E796">
        <v>0.29577260554052159</v>
      </c>
    </row>
    <row r="797" spans="4:5" x14ac:dyDescent="0.25">
      <c r="D797">
        <v>774</v>
      </c>
      <c r="E797">
        <v>0.28778922617600317</v>
      </c>
    </row>
    <row r="798" spans="4:5" x14ac:dyDescent="0.25">
      <c r="D798">
        <v>775</v>
      </c>
      <c r="E798">
        <v>0.30643441675883293</v>
      </c>
    </row>
    <row r="799" spans="4:5" x14ac:dyDescent="0.25">
      <c r="D799">
        <v>776</v>
      </c>
      <c r="E799">
        <v>0.30119658877903749</v>
      </c>
    </row>
    <row r="800" spans="4:5" x14ac:dyDescent="0.25">
      <c r="D800">
        <v>777</v>
      </c>
      <c r="E800">
        <v>0.32301344741567756</v>
      </c>
    </row>
    <row r="801" spans="4:5" x14ac:dyDescent="0.25">
      <c r="D801">
        <v>778</v>
      </c>
      <c r="E801">
        <v>0.32596397132790755</v>
      </c>
    </row>
    <row r="802" spans="4:5" x14ac:dyDescent="0.25">
      <c r="D802">
        <v>779</v>
      </c>
      <c r="E802">
        <v>0.29684701436672012</v>
      </c>
    </row>
    <row r="803" spans="4:5" x14ac:dyDescent="0.25">
      <c r="D803">
        <v>780</v>
      </c>
      <c r="E803">
        <v>0.30151816177805874</v>
      </c>
    </row>
    <row r="804" spans="4:5" x14ac:dyDescent="0.25">
      <c r="D804">
        <v>781</v>
      </c>
      <c r="E804">
        <v>0.30706537425742664</v>
      </c>
    </row>
    <row r="805" spans="4:5" x14ac:dyDescent="0.25">
      <c r="D805">
        <v>782</v>
      </c>
      <c r="E805">
        <v>0.2921112805962312</v>
      </c>
    </row>
    <row r="806" spans="4:5" x14ac:dyDescent="0.25">
      <c r="D806">
        <v>783</v>
      </c>
      <c r="E806">
        <v>0.31708522320546362</v>
      </c>
    </row>
    <row r="807" spans="4:5" x14ac:dyDescent="0.25">
      <c r="D807">
        <v>784</v>
      </c>
      <c r="E807">
        <v>0.29328896448920816</v>
      </c>
    </row>
    <row r="808" spans="4:5" x14ac:dyDescent="0.25">
      <c r="D808">
        <v>785</v>
      </c>
      <c r="E808">
        <v>0.30838689589431051</v>
      </c>
    </row>
    <row r="809" spans="4:5" x14ac:dyDescent="0.25">
      <c r="D809">
        <v>786</v>
      </c>
      <c r="E809">
        <v>0.31915426969876909</v>
      </c>
    </row>
    <row r="810" spans="4:5" x14ac:dyDescent="0.25">
      <c r="D810">
        <v>787</v>
      </c>
      <c r="E810">
        <v>0.30945650850536521</v>
      </c>
    </row>
    <row r="811" spans="4:5" x14ac:dyDescent="0.25">
      <c r="D811">
        <v>788</v>
      </c>
      <c r="E811">
        <v>0.29225563264929844</v>
      </c>
    </row>
    <row r="812" spans="4:5" x14ac:dyDescent="0.25">
      <c r="D812">
        <v>789</v>
      </c>
      <c r="E812">
        <v>0.28214980282390417</v>
      </c>
    </row>
    <row r="813" spans="4:5" x14ac:dyDescent="0.25">
      <c r="D813">
        <v>790</v>
      </c>
      <c r="E813">
        <v>0.29384768510778053</v>
      </c>
    </row>
    <row r="814" spans="4:5" x14ac:dyDescent="0.25">
      <c r="D814">
        <v>791</v>
      </c>
      <c r="E814">
        <v>0.30141851263109765</v>
      </c>
    </row>
    <row r="815" spans="4:5" x14ac:dyDescent="0.25">
      <c r="D815">
        <v>792</v>
      </c>
      <c r="E815">
        <v>0.29759168249466106</v>
      </c>
    </row>
    <row r="816" spans="4:5" x14ac:dyDescent="0.25">
      <c r="D816">
        <v>793</v>
      </c>
      <c r="E816">
        <v>0.32050577301742739</v>
      </c>
    </row>
    <row r="817" spans="4:5" x14ac:dyDescent="0.25">
      <c r="D817">
        <v>794</v>
      </c>
      <c r="E817">
        <v>0.27840099848322652</v>
      </c>
    </row>
    <row r="818" spans="4:5" x14ac:dyDescent="0.25">
      <c r="D818">
        <v>795</v>
      </c>
      <c r="E818">
        <v>0.28753275229393921</v>
      </c>
    </row>
    <row r="819" spans="4:5" x14ac:dyDescent="0.25">
      <c r="D819">
        <v>796</v>
      </c>
      <c r="E819">
        <v>0.31677374648858359</v>
      </c>
    </row>
    <row r="820" spans="4:5" x14ac:dyDescent="0.25">
      <c r="D820">
        <v>797</v>
      </c>
      <c r="E820">
        <v>0.2779744377020672</v>
      </c>
    </row>
    <row r="821" spans="4:5" x14ac:dyDescent="0.25">
      <c r="D821">
        <v>798</v>
      </c>
      <c r="E821">
        <v>0.29601035858991021</v>
      </c>
    </row>
    <row r="822" spans="4:5" x14ac:dyDescent="0.25">
      <c r="D822">
        <v>799</v>
      </c>
      <c r="E822">
        <v>0.2653273266281872</v>
      </c>
    </row>
    <row r="823" spans="4:5" x14ac:dyDescent="0.25">
      <c r="D823">
        <v>800</v>
      </c>
      <c r="E823">
        <v>0.2820121061635546</v>
      </c>
    </row>
    <row r="824" spans="4:5" x14ac:dyDescent="0.25">
      <c r="D824">
        <v>801</v>
      </c>
      <c r="E824">
        <v>0.30560573228226923</v>
      </c>
    </row>
    <row r="825" spans="4:5" x14ac:dyDescent="0.25">
      <c r="D825">
        <v>802</v>
      </c>
      <c r="E825">
        <v>0.32422634100087333</v>
      </c>
    </row>
    <row r="826" spans="4:5" x14ac:dyDescent="0.25">
      <c r="D826">
        <v>803</v>
      </c>
      <c r="E826">
        <v>0.31269511648784165</v>
      </c>
    </row>
    <row r="827" spans="4:5" x14ac:dyDescent="0.25">
      <c r="D827">
        <v>804</v>
      </c>
      <c r="E827">
        <v>0.29104598331502812</v>
      </c>
    </row>
    <row r="828" spans="4:5" x14ac:dyDescent="0.25">
      <c r="D828">
        <v>805</v>
      </c>
      <c r="E828">
        <v>0.2844614806351366</v>
      </c>
    </row>
    <row r="829" spans="4:5" x14ac:dyDescent="0.25">
      <c r="D829">
        <v>806</v>
      </c>
      <c r="E829">
        <v>0.32023651799918834</v>
      </c>
    </row>
    <row r="830" spans="4:5" x14ac:dyDescent="0.25">
      <c r="D830">
        <v>807</v>
      </c>
      <c r="E830">
        <v>0.30682770650765134</v>
      </c>
    </row>
    <row r="831" spans="4:5" x14ac:dyDescent="0.25">
      <c r="D831">
        <v>808</v>
      </c>
      <c r="E831">
        <v>0.25851516935110364</v>
      </c>
    </row>
    <row r="832" spans="4:5" x14ac:dyDescent="0.25">
      <c r="D832">
        <v>809</v>
      </c>
      <c r="E832">
        <v>0.29620895009571097</v>
      </c>
    </row>
    <row r="833" spans="4:5" x14ac:dyDescent="0.25">
      <c r="D833">
        <v>810</v>
      </c>
      <c r="E833">
        <v>0.31007657647119491</v>
      </c>
    </row>
    <row r="834" spans="4:5" x14ac:dyDescent="0.25">
      <c r="D834">
        <v>811</v>
      </c>
      <c r="E834">
        <v>0.28157242246788794</v>
      </c>
    </row>
    <row r="835" spans="4:5" x14ac:dyDescent="0.25">
      <c r="D835">
        <v>812</v>
      </c>
      <c r="E835">
        <v>0.31268499998456906</v>
      </c>
    </row>
    <row r="836" spans="4:5" x14ac:dyDescent="0.25">
      <c r="D836">
        <v>813</v>
      </c>
      <c r="E836">
        <v>0.26949642108556388</v>
      </c>
    </row>
    <row r="837" spans="4:5" x14ac:dyDescent="0.25">
      <c r="D837">
        <v>814</v>
      </c>
      <c r="E837">
        <v>0.31521470256705614</v>
      </c>
    </row>
    <row r="838" spans="4:5" x14ac:dyDescent="0.25">
      <c r="D838">
        <v>815</v>
      </c>
      <c r="E838">
        <v>0.31648467682106951</v>
      </c>
    </row>
    <row r="839" spans="4:5" x14ac:dyDescent="0.25">
      <c r="D839">
        <v>816</v>
      </c>
      <c r="E839">
        <v>0.28681785690321449</v>
      </c>
    </row>
    <row r="840" spans="4:5" x14ac:dyDescent="0.25">
      <c r="D840">
        <v>817</v>
      </c>
      <c r="E840">
        <v>0.29419397358996391</v>
      </c>
    </row>
    <row r="841" spans="4:5" x14ac:dyDescent="0.25">
      <c r="D841">
        <v>818</v>
      </c>
      <c r="E841">
        <v>0.27609309205016058</v>
      </c>
    </row>
    <row r="842" spans="4:5" x14ac:dyDescent="0.25">
      <c r="D842">
        <v>819</v>
      </c>
      <c r="E842">
        <v>0.30066111506473148</v>
      </c>
    </row>
    <row r="843" spans="4:5" x14ac:dyDescent="0.25">
      <c r="D843">
        <v>820</v>
      </c>
      <c r="E843">
        <v>0.27790567299259256</v>
      </c>
    </row>
    <row r="844" spans="4:5" x14ac:dyDescent="0.25">
      <c r="D844">
        <v>821</v>
      </c>
      <c r="E844">
        <v>0.33138020230958792</v>
      </c>
    </row>
    <row r="845" spans="4:5" x14ac:dyDescent="0.25">
      <c r="D845">
        <v>822</v>
      </c>
      <c r="E845">
        <v>0.31892129305901828</v>
      </c>
    </row>
    <row r="846" spans="4:5" x14ac:dyDescent="0.25">
      <c r="D846">
        <v>823</v>
      </c>
      <c r="E846">
        <v>0.31195370510228837</v>
      </c>
    </row>
    <row r="847" spans="4:5" x14ac:dyDescent="0.25">
      <c r="D847">
        <v>824</v>
      </c>
      <c r="E847">
        <v>0.30211952989007773</v>
      </c>
    </row>
    <row r="848" spans="4:5" x14ac:dyDescent="0.25">
      <c r="D848">
        <v>825</v>
      </c>
      <c r="E848">
        <v>0.30999958927992621</v>
      </c>
    </row>
    <row r="849" spans="4:5" x14ac:dyDescent="0.25">
      <c r="D849">
        <v>826</v>
      </c>
      <c r="E849">
        <v>0.31699081140094193</v>
      </c>
    </row>
    <row r="850" spans="4:5" x14ac:dyDescent="0.25">
      <c r="D850">
        <v>827</v>
      </c>
      <c r="E850">
        <v>0.27836167484215141</v>
      </c>
    </row>
    <row r="851" spans="4:5" x14ac:dyDescent="0.25">
      <c r="D851">
        <v>828</v>
      </c>
      <c r="E851">
        <v>0.29433418564988023</v>
      </c>
    </row>
    <row r="852" spans="4:5" x14ac:dyDescent="0.25">
      <c r="D852">
        <v>829</v>
      </c>
      <c r="E852">
        <v>0.28639574193693568</v>
      </c>
    </row>
    <row r="853" spans="4:5" x14ac:dyDescent="0.25">
      <c r="D853">
        <v>830</v>
      </c>
      <c r="E853">
        <v>0.28448041287362358</v>
      </c>
    </row>
    <row r="854" spans="4:5" x14ac:dyDescent="0.25">
      <c r="D854">
        <v>831</v>
      </c>
      <c r="E854">
        <v>0.30572221607605837</v>
      </c>
    </row>
    <row r="855" spans="4:5" x14ac:dyDescent="0.25">
      <c r="D855">
        <v>832</v>
      </c>
      <c r="E855">
        <v>0.29631542811809164</v>
      </c>
    </row>
    <row r="856" spans="4:5" x14ac:dyDescent="0.25">
      <c r="D856">
        <v>833</v>
      </c>
      <c r="E856">
        <v>0.27695619933373783</v>
      </c>
    </row>
    <row r="857" spans="4:5" x14ac:dyDescent="0.25">
      <c r="D857">
        <v>834</v>
      </c>
      <c r="E857">
        <v>0.28335295377683245</v>
      </c>
    </row>
    <row r="858" spans="4:5" x14ac:dyDescent="0.25">
      <c r="D858">
        <v>835</v>
      </c>
      <c r="E858">
        <v>0.28766176368333768</v>
      </c>
    </row>
    <row r="859" spans="4:5" x14ac:dyDescent="0.25">
      <c r="D859">
        <v>836</v>
      </c>
      <c r="E859">
        <v>0.29947886882369701</v>
      </c>
    </row>
    <row r="860" spans="4:5" x14ac:dyDescent="0.25">
      <c r="D860">
        <v>837</v>
      </c>
      <c r="E860">
        <v>0.31050341650378405</v>
      </c>
    </row>
    <row r="861" spans="4:5" x14ac:dyDescent="0.25">
      <c r="D861">
        <v>838</v>
      </c>
      <c r="E861">
        <v>0.30143901141535601</v>
      </c>
    </row>
    <row r="862" spans="4:5" x14ac:dyDescent="0.25">
      <c r="D862">
        <v>839</v>
      </c>
      <c r="E862">
        <v>0.3086567922849508</v>
      </c>
    </row>
    <row r="863" spans="4:5" x14ac:dyDescent="0.25">
      <c r="D863">
        <v>840</v>
      </c>
      <c r="E863">
        <v>0.28234514633629954</v>
      </c>
    </row>
    <row r="864" spans="4:5" x14ac:dyDescent="0.25">
      <c r="D864">
        <v>841</v>
      </c>
      <c r="E864">
        <v>0.31527832611072604</v>
      </c>
    </row>
    <row r="865" spans="4:5" x14ac:dyDescent="0.25">
      <c r="D865">
        <v>842</v>
      </c>
      <c r="E865">
        <v>0.33213958120440545</v>
      </c>
    </row>
    <row r="866" spans="4:5" x14ac:dyDescent="0.25">
      <c r="D866">
        <v>843</v>
      </c>
      <c r="E866">
        <v>0.30246988325365104</v>
      </c>
    </row>
    <row r="867" spans="4:5" x14ac:dyDescent="0.25">
      <c r="D867">
        <v>844</v>
      </c>
      <c r="E867">
        <v>0.27094334390265673</v>
      </c>
    </row>
    <row r="868" spans="4:5" x14ac:dyDescent="0.25">
      <c r="D868">
        <v>845</v>
      </c>
      <c r="E868">
        <v>0.29307374003046988</v>
      </c>
    </row>
    <row r="869" spans="4:5" x14ac:dyDescent="0.25">
      <c r="D869">
        <v>846</v>
      </c>
      <c r="E869">
        <v>0.3096526359636948</v>
      </c>
    </row>
    <row r="870" spans="4:5" x14ac:dyDescent="0.25">
      <c r="D870">
        <v>847</v>
      </c>
      <c r="E870">
        <v>0.28860968384880414</v>
      </c>
    </row>
    <row r="871" spans="4:5" x14ac:dyDescent="0.25">
      <c r="D871">
        <v>848</v>
      </c>
      <c r="E871">
        <v>0.30046835591108279</v>
      </c>
    </row>
    <row r="872" spans="4:5" x14ac:dyDescent="0.25">
      <c r="D872">
        <v>849</v>
      </c>
      <c r="E872">
        <v>0.3008260139911762</v>
      </c>
    </row>
    <row r="873" spans="4:5" x14ac:dyDescent="0.25">
      <c r="D873">
        <v>850</v>
      </c>
      <c r="E873">
        <v>0.29410272841258994</v>
      </c>
    </row>
    <row r="874" spans="4:5" x14ac:dyDescent="0.25">
      <c r="D874">
        <v>851</v>
      </c>
      <c r="E874">
        <v>0.32856693484535371</v>
      </c>
    </row>
    <row r="875" spans="4:5" x14ac:dyDescent="0.25">
      <c r="D875">
        <v>852</v>
      </c>
      <c r="E875">
        <v>0.30280660525564251</v>
      </c>
    </row>
    <row r="876" spans="4:5" x14ac:dyDescent="0.25">
      <c r="D876">
        <v>853</v>
      </c>
      <c r="E876">
        <v>0.29722567380534448</v>
      </c>
    </row>
    <row r="877" spans="4:5" x14ac:dyDescent="0.25">
      <c r="D877">
        <v>854</v>
      </c>
      <c r="E877">
        <v>0.30917200225035357</v>
      </c>
    </row>
    <row r="878" spans="4:5" x14ac:dyDescent="0.25">
      <c r="D878">
        <v>855</v>
      </c>
      <c r="E878">
        <v>0.30224184126187031</v>
      </c>
    </row>
    <row r="879" spans="4:5" x14ac:dyDescent="0.25">
      <c r="D879">
        <v>856</v>
      </c>
      <c r="E879">
        <v>0.29267019758994828</v>
      </c>
    </row>
    <row r="880" spans="4:5" x14ac:dyDescent="0.25">
      <c r="D880">
        <v>857</v>
      </c>
      <c r="E880">
        <v>0.31228272324618594</v>
      </c>
    </row>
    <row r="881" spans="4:5" x14ac:dyDescent="0.25">
      <c r="D881">
        <v>858</v>
      </c>
      <c r="E881">
        <v>0.29463695944009499</v>
      </c>
    </row>
    <row r="882" spans="4:5" x14ac:dyDescent="0.25">
      <c r="D882">
        <v>859</v>
      </c>
      <c r="E882">
        <v>0.31425967916933772</v>
      </c>
    </row>
    <row r="883" spans="4:5" x14ac:dyDescent="0.25">
      <c r="D883">
        <v>860</v>
      </c>
      <c r="E883">
        <v>0.29087775110417918</v>
      </c>
    </row>
    <row r="884" spans="4:5" x14ac:dyDescent="0.25">
      <c r="D884">
        <v>861</v>
      </c>
      <c r="E884">
        <v>0.28919023064833638</v>
      </c>
    </row>
    <row r="885" spans="4:5" x14ac:dyDescent="0.25">
      <c r="D885">
        <v>862</v>
      </c>
      <c r="E885">
        <v>0.31509870469787843</v>
      </c>
    </row>
    <row r="886" spans="4:5" x14ac:dyDescent="0.25">
      <c r="D886">
        <v>863</v>
      </c>
      <c r="E886">
        <v>0.28618289415266657</v>
      </c>
    </row>
    <row r="887" spans="4:5" x14ac:dyDescent="0.25">
      <c r="D887">
        <v>864</v>
      </c>
      <c r="E887">
        <v>0.29583203990861717</v>
      </c>
    </row>
    <row r="888" spans="4:5" x14ac:dyDescent="0.25">
      <c r="D888">
        <v>865</v>
      </c>
      <c r="E888">
        <v>0.28693832542947489</v>
      </c>
    </row>
    <row r="889" spans="4:5" x14ac:dyDescent="0.25">
      <c r="D889">
        <v>866</v>
      </c>
      <c r="E889">
        <v>0.34011115325897873</v>
      </c>
    </row>
    <row r="890" spans="4:5" x14ac:dyDescent="0.25">
      <c r="D890">
        <v>867</v>
      </c>
      <c r="E890">
        <v>0.31109661982708142</v>
      </c>
    </row>
    <row r="891" spans="4:5" x14ac:dyDescent="0.25">
      <c r="D891">
        <v>868</v>
      </c>
      <c r="E891">
        <v>0.29543639656385523</v>
      </c>
    </row>
    <row r="892" spans="4:5" x14ac:dyDescent="0.25">
      <c r="D892">
        <v>869</v>
      </c>
      <c r="E892">
        <v>0.30212881777128953</v>
      </c>
    </row>
    <row r="893" spans="4:5" x14ac:dyDescent="0.25">
      <c r="D893">
        <v>870</v>
      </c>
      <c r="E893">
        <v>0.3091850834723559</v>
      </c>
    </row>
    <row r="894" spans="4:5" x14ac:dyDescent="0.25">
      <c r="D894">
        <v>871</v>
      </c>
      <c r="E894">
        <v>0.29256551195412134</v>
      </c>
    </row>
    <row r="895" spans="4:5" x14ac:dyDescent="0.25">
      <c r="D895">
        <v>872</v>
      </c>
      <c r="E895">
        <v>0.30065615694328046</v>
      </c>
    </row>
    <row r="896" spans="4:5" x14ac:dyDescent="0.25">
      <c r="D896">
        <v>873</v>
      </c>
      <c r="E896">
        <v>0.30677192131559644</v>
      </c>
    </row>
    <row r="897" spans="4:5" x14ac:dyDescent="0.25">
      <c r="D897">
        <v>874</v>
      </c>
      <c r="E897">
        <v>0.3170049310128778</v>
      </c>
    </row>
    <row r="898" spans="4:5" x14ac:dyDescent="0.25">
      <c r="D898">
        <v>875</v>
      </c>
      <c r="E898">
        <v>0.30367289889342708</v>
      </c>
    </row>
    <row r="899" spans="4:5" x14ac:dyDescent="0.25">
      <c r="D899">
        <v>876</v>
      </c>
      <c r="E899">
        <v>0.30721632169799667</v>
      </c>
    </row>
    <row r="900" spans="4:5" x14ac:dyDescent="0.25">
      <c r="D900">
        <v>877</v>
      </c>
      <c r="E900">
        <v>0.28863636455894037</v>
      </c>
    </row>
    <row r="901" spans="4:5" x14ac:dyDescent="0.25">
      <c r="D901">
        <v>878</v>
      </c>
      <c r="E901">
        <v>0.29067546167248509</v>
      </c>
    </row>
    <row r="902" spans="4:5" x14ac:dyDescent="0.25">
      <c r="D902">
        <v>879</v>
      </c>
      <c r="E902">
        <v>0.30875602020963794</v>
      </c>
    </row>
    <row r="903" spans="4:5" x14ac:dyDescent="0.25">
      <c r="D903">
        <v>880</v>
      </c>
      <c r="E903">
        <v>0.30121540957034931</v>
      </c>
    </row>
    <row r="904" spans="4:5" x14ac:dyDescent="0.25">
      <c r="D904">
        <v>881</v>
      </c>
      <c r="E904">
        <v>0.28607311904295452</v>
      </c>
    </row>
    <row r="905" spans="4:5" x14ac:dyDescent="0.25">
      <c r="D905">
        <v>882</v>
      </c>
      <c r="E905">
        <v>0.30957930633281733</v>
      </c>
    </row>
    <row r="906" spans="4:5" x14ac:dyDescent="0.25">
      <c r="D906">
        <v>883</v>
      </c>
      <c r="E906">
        <v>0.30630665392987799</v>
      </c>
    </row>
    <row r="907" spans="4:5" x14ac:dyDescent="0.25">
      <c r="D907">
        <v>884</v>
      </c>
      <c r="E907">
        <v>0.29287850898020934</v>
      </c>
    </row>
    <row r="908" spans="4:5" x14ac:dyDescent="0.25">
      <c r="D908">
        <v>885</v>
      </c>
      <c r="E908">
        <v>0.3431646964968007</v>
      </c>
    </row>
    <row r="909" spans="4:5" x14ac:dyDescent="0.25">
      <c r="D909">
        <v>886</v>
      </c>
      <c r="E909">
        <v>0.29894701386790673</v>
      </c>
    </row>
    <row r="910" spans="4:5" x14ac:dyDescent="0.25">
      <c r="D910">
        <v>887</v>
      </c>
      <c r="E910">
        <v>0.29505838826014041</v>
      </c>
    </row>
    <row r="911" spans="4:5" x14ac:dyDescent="0.25">
      <c r="D911">
        <v>888</v>
      </c>
      <c r="E911">
        <v>0.28047340295796513</v>
      </c>
    </row>
    <row r="912" spans="4:5" x14ac:dyDescent="0.25">
      <c r="D912">
        <v>889</v>
      </c>
      <c r="E912">
        <v>0.28918747700969993</v>
      </c>
    </row>
    <row r="913" spans="4:5" x14ac:dyDescent="0.25">
      <c r="D913">
        <v>890</v>
      </c>
      <c r="E913">
        <v>0.29124992496029833</v>
      </c>
    </row>
    <row r="914" spans="4:5" x14ac:dyDescent="0.25">
      <c r="D914">
        <v>891</v>
      </c>
      <c r="E914">
        <v>0.28462347509830987</v>
      </c>
    </row>
    <row r="915" spans="4:5" x14ac:dyDescent="0.25">
      <c r="D915">
        <v>892</v>
      </c>
      <c r="E915">
        <v>0.31383790728591759</v>
      </c>
    </row>
    <row r="916" spans="4:5" x14ac:dyDescent="0.25">
      <c r="D916">
        <v>893</v>
      </c>
      <c r="E916">
        <v>0.28307827842202149</v>
      </c>
    </row>
    <row r="917" spans="4:5" x14ac:dyDescent="0.25">
      <c r="D917">
        <v>894</v>
      </c>
      <c r="E917">
        <v>0.27709653494903902</v>
      </c>
    </row>
    <row r="918" spans="4:5" x14ac:dyDescent="0.25">
      <c r="D918">
        <v>895</v>
      </c>
      <c r="E918">
        <v>0.29561016171592086</v>
      </c>
    </row>
    <row r="919" spans="4:5" x14ac:dyDescent="0.25">
      <c r="D919">
        <v>896</v>
      </c>
      <c r="E919">
        <v>0.31467390124204137</v>
      </c>
    </row>
    <row r="920" spans="4:5" x14ac:dyDescent="0.25">
      <c r="D920">
        <v>897</v>
      </c>
      <c r="E920">
        <v>0.27900717371722167</v>
      </c>
    </row>
    <row r="921" spans="4:5" x14ac:dyDescent="0.25">
      <c r="D921">
        <v>898</v>
      </c>
      <c r="E921">
        <v>0.28158239178913935</v>
      </c>
    </row>
    <row r="922" spans="4:5" x14ac:dyDescent="0.25">
      <c r="D922">
        <v>899</v>
      </c>
      <c r="E922">
        <v>0.32257915714707391</v>
      </c>
    </row>
    <row r="923" spans="4:5" x14ac:dyDescent="0.25">
      <c r="D923">
        <v>900</v>
      </c>
      <c r="E923">
        <v>0.30927733285514014</v>
      </c>
    </row>
    <row r="924" spans="4:5" x14ac:dyDescent="0.25">
      <c r="D924">
        <v>901</v>
      </c>
      <c r="E924">
        <v>0.29972631818517242</v>
      </c>
    </row>
    <row r="925" spans="4:5" x14ac:dyDescent="0.25">
      <c r="D925">
        <v>902</v>
      </c>
      <c r="E925">
        <v>0.30335520999612053</v>
      </c>
    </row>
    <row r="926" spans="4:5" x14ac:dyDescent="0.25">
      <c r="D926">
        <v>903</v>
      </c>
      <c r="E926">
        <v>0.31052735915951069</v>
      </c>
    </row>
    <row r="927" spans="4:5" x14ac:dyDescent="0.25">
      <c r="D927">
        <v>904</v>
      </c>
      <c r="E927">
        <v>0.3204301008215138</v>
      </c>
    </row>
    <row r="928" spans="4:5" x14ac:dyDescent="0.25">
      <c r="D928">
        <v>905</v>
      </c>
      <c r="E928">
        <v>0.31574424693611813</v>
      </c>
    </row>
    <row r="929" spans="4:5" x14ac:dyDescent="0.25">
      <c r="D929">
        <v>906</v>
      </c>
      <c r="E929">
        <v>0.29124691635237432</v>
      </c>
    </row>
    <row r="930" spans="4:5" x14ac:dyDescent="0.25">
      <c r="D930">
        <v>907</v>
      </c>
      <c r="E930">
        <v>0.31776618908961446</v>
      </c>
    </row>
    <row r="931" spans="4:5" x14ac:dyDescent="0.25">
      <c r="D931">
        <v>908</v>
      </c>
      <c r="E931">
        <v>0.28689837309911453</v>
      </c>
    </row>
    <row r="932" spans="4:5" x14ac:dyDescent="0.25">
      <c r="D932">
        <v>909</v>
      </c>
      <c r="E932">
        <v>0.28336217759413068</v>
      </c>
    </row>
    <row r="933" spans="4:5" x14ac:dyDescent="0.25">
      <c r="D933">
        <v>910</v>
      </c>
      <c r="E933">
        <v>0.30695233796532023</v>
      </c>
    </row>
    <row r="934" spans="4:5" x14ac:dyDescent="0.25">
      <c r="D934">
        <v>911</v>
      </c>
      <c r="E934">
        <v>0.27276369694339586</v>
      </c>
    </row>
    <row r="935" spans="4:5" x14ac:dyDescent="0.25">
      <c r="D935">
        <v>912</v>
      </c>
      <c r="E935">
        <v>0.26319365942759804</v>
      </c>
    </row>
    <row r="936" spans="4:5" x14ac:dyDescent="0.25">
      <c r="D936">
        <v>913</v>
      </c>
      <c r="E936">
        <v>0.30347495227297638</v>
      </c>
    </row>
    <row r="937" spans="4:5" x14ac:dyDescent="0.25">
      <c r="D937">
        <v>914</v>
      </c>
      <c r="E937">
        <v>0.30628883741960011</v>
      </c>
    </row>
    <row r="938" spans="4:5" x14ac:dyDescent="0.25">
      <c r="D938">
        <v>915</v>
      </c>
      <c r="E938">
        <v>0.27421566580280077</v>
      </c>
    </row>
    <row r="939" spans="4:5" x14ac:dyDescent="0.25">
      <c r="D939">
        <v>916</v>
      </c>
      <c r="E939">
        <v>0.29117805003336783</v>
      </c>
    </row>
    <row r="940" spans="4:5" x14ac:dyDescent="0.25">
      <c r="D940">
        <v>917</v>
      </c>
      <c r="E940">
        <v>0.30225451710923723</v>
      </c>
    </row>
    <row r="941" spans="4:5" x14ac:dyDescent="0.25">
      <c r="D941">
        <v>918</v>
      </c>
      <c r="E941">
        <v>0.29359537400683766</v>
      </c>
    </row>
    <row r="942" spans="4:5" x14ac:dyDescent="0.25">
      <c r="D942">
        <v>919</v>
      </c>
      <c r="E942">
        <v>0.30374780099448584</v>
      </c>
    </row>
    <row r="943" spans="4:5" x14ac:dyDescent="0.25">
      <c r="D943">
        <v>920</v>
      </c>
      <c r="E943">
        <v>0.27328674209937531</v>
      </c>
    </row>
    <row r="944" spans="4:5" x14ac:dyDescent="0.25">
      <c r="D944">
        <v>921</v>
      </c>
      <c r="E944">
        <v>0.29282315720435509</v>
      </c>
    </row>
    <row r="945" spans="4:5" x14ac:dyDescent="0.25">
      <c r="D945">
        <v>922</v>
      </c>
      <c r="E945">
        <v>0.33784471258245563</v>
      </c>
    </row>
    <row r="946" spans="4:5" x14ac:dyDescent="0.25">
      <c r="D946">
        <v>923</v>
      </c>
      <c r="E946">
        <v>0.29942458793340121</v>
      </c>
    </row>
    <row r="947" spans="4:5" x14ac:dyDescent="0.25">
      <c r="D947">
        <v>924</v>
      </c>
      <c r="E947">
        <v>0.29457283256600342</v>
      </c>
    </row>
    <row r="948" spans="4:5" x14ac:dyDescent="0.25">
      <c r="D948">
        <v>925</v>
      </c>
      <c r="E948">
        <v>0.28379328691521727</v>
      </c>
    </row>
    <row r="949" spans="4:5" x14ac:dyDescent="0.25">
      <c r="D949">
        <v>926</v>
      </c>
      <c r="E949">
        <v>0.28360142552798118</v>
      </c>
    </row>
    <row r="950" spans="4:5" x14ac:dyDescent="0.25">
      <c r="D950">
        <v>927</v>
      </c>
      <c r="E950">
        <v>0.29401106592628251</v>
      </c>
    </row>
    <row r="951" spans="4:5" x14ac:dyDescent="0.25">
      <c r="D951">
        <v>928</v>
      </c>
      <c r="E951">
        <v>0.27398947309848964</v>
      </c>
    </row>
    <row r="952" spans="4:5" x14ac:dyDescent="0.25">
      <c r="D952">
        <v>929</v>
      </c>
      <c r="E952">
        <v>0.30971355618025742</v>
      </c>
    </row>
    <row r="953" spans="4:5" x14ac:dyDescent="0.25">
      <c r="D953">
        <v>930</v>
      </c>
      <c r="E953">
        <v>0.29476122369165764</v>
      </c>
    </row>
    <row r="954" spans="4:5" x14ac:dyDescent="0.25">
      <c r="D954">
        <v>931</v>
      </c>
      <c r="E954">
        <v>0.29980348870060475</v>
      </c>
    </row>
    <row r="955" spans="4:5" x14ac:dyDescent="0.25">
      <c r="D955">
        <v>932</v>
      </c>
      <c r="E955">
        <v>0.31038224361868794</v>
      </c>
    </row>
    <row r="956" spans="4:5" x14ac:dyDescent="0.25">
      <c r="D956">
        <v>933</v>
      </c>
      <c r="E956">
        <v>0.30117874181036586</v>
      </c>
    </row>
    <row r="957" spans="4:5" x14ac:dyDescent="0.25">
      <c r="D957">
        <v>934</v>
      </c>
      <c r="E957">
        <v>0.31503832534115184</v>
      </c>
    </row>
    <row r="958" spans="4:5" x14ac:dyDescent="0.25">
      <c r="D958">
        <v>935</v>
      </c>
      <c r="E958">
        <v>0.29090106929207421</v>
      </c>
    </row>
    <row r="959" spans="4:5" x14ac:dyDescent="0.25">
      <c r="D959">
        <v>936</v>
      </c>
      <c r="E959">
        <v>0.30156028927641265</v>
      </c>
    </row>
    <row r="960" spans="4:5" x14ac:dyDescent="0.25">
      <c r="D960">
        <v>937</v>
      </c>
      <c r="E960">
        <v>0.30925314993902231</v>
      </c>
    </row>
    <row r="961" spans="4:5" x14ac:dyDescent="0.25">
      <c r="D961">
        <v>938</v>
      </c>
      <c r="E961">
        <v>0.30210134721267179</v>
      </c>
    </row>
    <row r="962" spans="4:5" x14ac:dyDescent="0.25">
      <c r="D962">
        <v>939</v>
      </c>
      <c r="E962">
        <v>0.30292580499842553</v>
      </c>
    </row>
    <row r="963" spans="4:5" x14ac:dyDescent="0.25">
      <c r="D963">
        <v>940</v>
      </c>
      <c r="E963">
        <v>0.31277699471586201</v>
      </c>
    </row>
    <row r="964" spans="4:5" x14ac:dyDescent="0.25">
      <c r="D964">
        <v>941</v>
      </c>
      <c r="E964">
        <v>0.27559843282030339</v>
      </c>
    </row>
    <row r="965" spans="4:5" x14ac:dyDescent="0.25">
      <c r="D965">
        <v>942</v>
      </c>
      <c r="E965">
        <v>0.30809738124972597</v>
      </c>
    </row>
    <row r="966" spans="4:5" x14ac:dyDescent="0.25">
      <c r="D966">
        <v>943</v>
      </c>
      <c r="E966">
        <v>0.30997991449786388</v>
      </c>
    </row>
    <row r="967" spans="4:5" x14ac:dyDescent="0.25">
      <c r="D967">
        <v>944</v>
      </c>
      <c r="E967">
        <v>0.27779060950534307</v>
      </c>
    </row>
    <row r="968" spans="4:5" x14ac:dyDescent="0.25">
      <c r="D968">
        <v>945</v>
      </c>
      <c r="E968">
        <v>0.31214038367094132</v>
      </c>
    </row>
    <row r="969" spans="4:5" x14ac:dyDescent="0.25">
      <c r="D969">
        <v>946</v>
      </c>
      <c r="E969">
        <v>0.29725952391840677</v>
      </c>
    </row>
    <row r="970" spans="4:5" x14ac:dyDescent="0.25">
      <c r="D970">
        <v>947</v>
      </c>
      <c r="E970">
        <v>0.31141799809762966</v>
      </c>
    </row>
    <row r="971" spans="4:5" x14ac:dyDescent="0.25">
      <c r="D971">
        <v>948</v>
      </c>
      <c r="E971">
        <v>0.29585086721209924</v>
      </c>
    </row>
    <row r="972" spans="4:5" x14ac:dyDescent="0.25">
      <c r="D972">
        <v>949</v>
      </c>
      <c r="E972">
        <v>0.32193075248583175</v>
      </c>
    </row>
    <row r="973" spans="4:5" x14ac:dyDescent="0.25">
      <c r="D973">
        <v>950</v>
      </c>
      <c r="E973">
        <v>0.2975256882772529</v>
      </c>
    </row>
    <row r="974" spans="4:5" x14ac:dyDescent="0.25">
      <c r="D974">
        <v>951</v>
      </c>
      <c r="E974">
        <v>0.27286131956441328</v>
      </c>
    </row>
    <row r="975" spans="4:5" x14ac:dyDescent="0.25">
      <c r="D975">
        <v>952</v>
      </c>
      <c r="E975">
        <v>0.28665258730570897</v>
      </c>
    </row>
    <row r="976" spans="4:5" x14ac:dyDescent="0.25">
      <c r="D976">
        <v>953</v>
      </c>
      <c r="E976">
        <v>0.29104045379443921</v>
      </c>
    </row>
    <row r="977" spans="4:5" x14ac:dyDescent="0.25">
      <c r="D977">
        <v>954</v>
      </c>
      <c r="E977">
        <v>0.30752542275335937</v>
      </c>
    </row>
    <row r="978" spans="4:5" x14ac:dyDescent="0.25">
      <c r="D978">
        <v>955</v>
      </c>
      <c r="E978">
        <v>0.29438153009843682</v>
      </c>
    </row>
    <row r="979" spans="4:5" x14ac:dyDescent="0.25">
      <c r="D979">
        <v>956</v>
      </c>
      <c r="E979">
        <v>0.31078916216873032</v>
      </c>
    </row>
    <row r="980" spans="4:5" x14ac:dyDescent="0.25">
      <c r="D980">
        <v>957</v>
      </c>
      <c r="E980">
        <v>0.29586736271969394</v>
      </c>
    </row>
    <row r="981" spans="4:5" x14ac:dyDescent="0.25">
      <c r="D981">
        <v>958</v>
      </c>
      <c r="E981">
        <v>0.3034245132772368</v>
      </c>
    </row>
    <row r="982" spans="4:5" x14ac:dyDescent="0.25">
      <c r="D982">
        <v>959</v>
      </c>
      <c r="E982">
        <v>0.28949394894072217</v>
      </c>
    </row>
    <row r="983" spans="4:5" x14ac:dyDescent="0.25">
      <c r="D983">
        <v>960</v>
      </c>
      <c r="E983">
        <v>0.3164537954616698</v>
      </c>
    </row>
    <row r="984" spans="4:5" x14ac:dyDescent="0.25">
      <c r="D984">
        <v>961</v>
      </c>
      <c r="E984">
        <v>0.29736422532637113</v>
      </c>
    </row>
    <row r="985" spans="4:5" x14ac:dyDescent="0.25">
      <c r="D985">
        <v>962</v>
      </c>
      <c r="E985">
        <v>0.29656116241023395</v>
      </c>
    </row>
    <row r="986" spans="4:5" x14ac:dyDescent="0.25">
      <c r="D986">
        <v>963</v>
      </c>
      <c r="E986">
        <v>0.31347070690221907</v>
      </c>
    </row>
    <row r="987" spans="4:5" x14ac:dyDescent="0.25">
      <c r="D987">
        <v>964</v>
      </c>
      <c r="E987">
        <v>0.33484271899067353</v>
      </c>
    </row>
    <row r="988" spans="4:5" x14ac:dyDescent="0.25">
      <c r="D988">
        <v>965</v>
      </c>
      <c r="E988">
        <v>0.30903479758481844</v>
      </c>
    </row>
    <row r="989" spans="4:5" x14ac:dyDescent="0.25">
      <c r="D989">
        <v>966</v>
      </c>
      <c r="E989">
        <v>0.29154175883513389</v>
      </c>
    </row>
    <row r="990" spans="4:5" x14ac:dyDescent="0.25">
      <c r="D990">
        <v>967</v>
      </c>
      <c r="E990">
        <v>0.30394008664843225</v>
      </c>
    </row>
    <row r="991" spans="4:5" x14ac:dyDescent="0.25">
      <c r="D991">
        <v>968</v>
      </c>
      <c r="E991">
        <v>0.30769241975062106</v>
      </c>
    </row>
    <row r="992" spans="4:5" x14ac:dyDescent="0.25">
      <c r="D992">
        <v>969</v>
      </c>
      <c r="E992">
        <v>0.32040678191746258</v>
      </c>
    </row>
    <row r="993" spans="4:5" x14ac:dyDescent="0.25">
      <c r="D993">
        <v>970</v>
      </c>
      <c r="E993">
        <v>0.30687116894338529</v>
      </c>
    </row>
    <row r="994" spans="4:5" x14ac:dyDescent="0.25">
      <c r="D994">
        <v>971</v>
      </c>
      <c r="E994">
        <v>0.29690424060384629</v>
      </c>
    </row>
    <row r="995" spans="4:5" x14ac:dyDescent="0.25">
      <c r="D995">
        <v>972</v>
      </c>
      <c r="E995">
        <v>0.24209838755974247</v>
      </c>
    </row>
    <row r="996" spans="4:5" x14ac:dyDescent="0.25">
      <c r="D996">
        <v>973</v>
      </c>
      <c r="E996">
        <v>0.27944715699628764</v>
      </c>
    </row>
    <row r="997" spans="4:5" x14ac:dyDescent="0.25">
      <c r="D997">
        <v>974</v>
      </c>
      <c r="E997">
        <v>0.29345848750516879</v>
      </c>
    </row>
    <row r="998" spans="4:5" x14ac:dyDescent="0.25">
      <c r="D998">
        <v>975</v>
      </c>
      <c r="E998">
        <v>0.29064472308450223</v>
      </c>
    </row>
    <row r="999" spans="4:5" x14ac:dyDescent="0.25">
      <c r="D999">
        <v>976</v>
      </c>
      <c r="E999">
        <v>0.31233883415586977</v>
      </c>
    </row>
    <row r="1000" spans="4:5" x14ac:dyDescent="0.25">
      <c r="D1000">
        <v>977</v>
      </c>
      <c r="E1000">
        <v>0.29601915768292758</v>
      </c>
    </row>
    <row r="1001" spans="4:5" x14ac:dyDescent="0.25">
      <c r="D1001">
        <v>978</v>
      </c>
      <c r="E1001">
        <v>0.31254626149296488</v>
      </c>
    </row>
    <row r="1002" spans="4:5" x14ac:dyDescent="0.25">
      <c r="D1002">
        <v>979</v>
      </c>
      <c r="E1002">
        <v>0.30295755390613427</v>
      </c>
    </row>
    <row r="1003" spans="4:5" x14ac:dyDescent="0.25">
      <c r="D1003">
        <v>980</v>
      </c>
      <c r="E1003">
        <v>0.26333699719024661</v>
      </c>
    </row>
    <row r="1004" spans="4:5" x14ac:dyDescent="0.25">
      <c r="D1004">
        <v>981</v>
      </c>
      <c r="E1004">
        <v>0.30149934702062176</v>
      </c>
    </row>
    <row r="1005" spans="4:5" x14ac:dyDescent="0.25">
      <c r="D1005">
        <v>982</v>
      </c>
      <c r="E1005">
        <v>0.30059734598218008</v>
      </c>
    </row>
    <row r="1006" spans="4:5" x14ac:dyDescent="0.25">
      <c r="D1006">
        <v>983</v>
      </c>
      <c r="E1006">
        <v>0.29366066770067217</v>
      </c>
    </row>
    <row r="1007" spans="4:5" x14ac:dyDescent="0.25">
      <c r="D1007">
        <v>984</v>
      </c>
      <c r="E1007">
        <v>0.29294995623245973</v>
      </c>
    </row>
    <row r="1008" spans="4:5" x14ac:dyDescent="0.25">
      <c r="D1008">
        <v>985</v>
      </c>
      <c r="E1008">
        <v>0.3217032754287702</v>
      </c>
    </row>
    <row r="1009" spans="4:5" x14ac:dyDescent="0.25">
      <c r="D1009">
        <v>986</v>
      </c>
      <c r="E1009">
        <v>0.26430759959600492</v>
      </c>
    </row>
    <row r="1010" spans="4:5" x14ac:dyDescent="0.25">
      <c r="D1010">
        <v>987</v>
      </c>
      <c r="E1010">
        <v>0.29604147360145122</v>
      </c>
    </row>
    <row r="1011" spans="4:5" x14ac:dyDescent="0.25">
      <c r="D1011">
        <v>988</v>
      </c>
      <c r="E1011">
        <v>0.33459599116578925</v>
      </c>
    </row>
    <row r="1012" spans="4:5" x14ac:dyDescent="0.25">
      <c r="D1012">
        <v>989</v>
      </c>
      <c r="E1012">
        <v>0.31959069342522833</v>
      </c>
    </row>
    <row r="1013" spans="4:5" x14ac:dyDescent="0.25">
      <c r="D1013">
        <v>990</v>
      </c>
      <c r="E1013">
        <v>0.31022607993106355</v>
      </c>
    </row>
    <row r="1014" spans="4:5" x14ac:dyDescent="0.25">
      <c r="D1014">
        <v>991</v>
      </c>
      <c r="E1014">
        <v>0.29601574894489774</v>
      </c>
    </row>
    <row r="1015" spans="4:5" x14ac:dyDescent="0.25">
      <c r="D1015">
        <v>992</v>
      </c>
      <c r="E1015">
        <v>0.29842992180238975</v>
      </c>
    </row>
    <row r="1016" spans="4:5" x14ac:dyDescent="0.25">
      <c r="D1016">
        <v>993</v>
      </c>
      <c r="E1016">
        <v>0.32147865959570654</v>
      </c>
    </row>
    <row r="1017" spans="4:5" x14ac:dyDescent="0.25">
      <c r="D1017">
        <v>994</v>
      </c>
      <c r="E1017">
        <v>0.31786422899889927</v>
      </c>
    </row>
    <row r="1018" spans="4:5" x14ac:dyDescent="0.25">
      <c r="D1018">
        <v>995</v>
      </c>
      <c r="E1018">
        <v>0.32055802708638531</v>
      </c>
    </row>
    <row r="1019" spans="4:5" x14ac:dyDescent="0.25">
      <c r="D1019">
        <v>996</v>
      </c>
      <c r="E1019">
        <v>0.30368280357070571</v>
      </c>
    </row>
    <row r="1020" spans="4:5" x14ac:dyDescent="0.25">
      <c r="D1020">
        <v>997</v>
      </c>
      <c r="E1020">
        <v>0.28069737913608256</v>
      </c>
    </row>
    <row r="1021" spans="4:5" x14ac:dyDescent="0.25">
      <c r="D1021">
        <v>998</v>
      </c>
      <c r="E1021">
        <v>0.3038257519309368</v>
      </c>
    </row>
    <row r="1022" spans="4:5" x14ac:dyDescent="0.25">
      <c r="D1022">
        <v>999</v>
      </c>
      <c r="E1022">
        <v>0.30482919127824859</v>
      </c>
    </row>
    <row r="1023" spans="4:5" x14ac:dyDescent="0.25">
      <c r="D1023">
        <v>1000</v>
      </c>
      <c r="E1023">
        <v>0.28853328635434278</v>
      </c>
    </row>
  </sheetData>
  <phoneticPr fontId="4" type="noConversion"/>
  <conditionalFormatting sqref="O24:U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34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 1</vt:lpstr>
      <vt:lpstr>Estimacion Flujo de 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Andrés Castaño Vásquez</dc:creator>
  <cp:lastModifiedBy>Germán Andrés Castaño Vásquez</cp:lastModifiedBy>
  <dcterms:created xsi:type="dcterms:W3CDTF">2025-11-19T03:21:23Z</dcterms:created>
  <dcterms:modified xsi:type="dcterms:W3CDTF">2025-11-28T02:23:38Z</dcterms:modified>
</cp:coreProperties>
</file>