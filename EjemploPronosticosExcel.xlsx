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ncho\Proyectos\Cursos\Excel para Analistas de Datos\Video 12 - Pronosticos\"/>
    </mc:Choice>
  </mc:AlternateContent>
  <xr:revisionPtr revIDLastSave="0" documentId="13_ncr:1_{52E08049-3213-4C87-AD31-B2819F4D8E76}" xr6:coauthVersionLast="47" xr6:coauthVersionMax="47" xr10:uidLastSave="{00000000-0000-0000-0000-000000000000}"/>
  <bookViews>
    <workbookView xWindow="-120" yWindow="-120" windowWidth="29040" windowHeight="15720" activeTab="1" xr2:uid="{973CDF4E-2641-459C-80E0-79B658A77143}"/>
  </bookViews>
  <sheets>
    <sheet name="Pronóstico General" sheetId="1" r:id="rId1"/>
    <sheet name="Pronóstico por Regió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2" l="1"/>
  <c r="F4" i="2" a="1"/>
  <c r="F4" i="2" s="1"/>
  <c r="E1" i="2" a="1"/>
  <c r="E1" i="2" s="1"/>
  <c r="I26" i="1"/>
  <c r="K26" i="1" a="1"/>
  <c r="K26" i="1" s="1"/>
  <c r="J26" i="1" a="1"/>
  <c r="J26" i="1" s="1"/>
  <c r="I2" i="1" a="1"/>
  <c r="I2" i="1" s="1"/>
  <c r="H2" i="1" a="1"/>
  <c r="H2" i="1" s="1"/>
  <c r="E2" i="1" a="1"/>
  <c r="E2" i="1" s="1"/>
  <c r="D25" i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3" i="1"/>
  <c r="D2" i="1"/>
  <c r="F2" i="1" a="1"/>
  <c r="F28" i="2" l="1"/>
  <c r="F2" i="1"/>
  <c r="F29" i="2" l="1"/>
  <c r="F30" i="2" l="1"/>
  <c r="F31" i="2" l="1"/>
  <c r="F32" i="2" l="1"/>
  <c r="F33" i="2" l="1"/>
  <c r="F34" i="2" l="1"/>
  <c r="F35" i="2" l="1"/>
  <c r="F36" i="2" l="1"/>
  <c r="F37" i="2" l="1"/>
  <c r="F38" i="2" l="1"/>
  <c r="F39" i="2" l="1"/>
  <c r="F40" i="2" l="1"/>
  <c r="F41" i="2" l="1"/>
  <c r="F42" i="2" l="1"/>
  <c r="F43" i="2" l="1"/>
  <c r="F44" i="2" l="1"/>
  <c r="F45" i="2" l="1"/>
  <c r="F46" i="2" l="1"/>
  <c r="F47" i="2" l="1"/>
  <c r="F48" i="2" l="1"/>
  <c r="F49" i="2" l="1"/>
  <c r="F50" i="2" l="1"/>
  <c r="F51" i="2" l="1"/>
  <c r="H28" i="2" a="1"/>
  <c r="H28" i="2" l="1"/>
  <c r="G28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<sst xmlns="http://schemas.openxmlformats.org/spreadsheetml/2006/main" count="113" uniqueCount="14">
  <si>
    <t>Fin de mes</t>
  </si>
  <si>
    <t>Revenue</t>
  </si>
  <si>
    <t>Real</t>
  </si>
  <si>
    <t>Region</t>
  </si>
  <si>
    <t>Centre</t>
  </si>
  <si>
    <t>East</t>
  </si>
  <si>
    <t>South</t>
  </si>
  <si>
    <t>West</t>
  </si>
  <si>
    <t>Fecha</t>
  </si>
  <si>
    <t>Lineal</t>
  </si>
  <si>
    <t>Ets</t>
  </si>
  <si>
    <t>lineal</t>
  </si>
  <si>
    <t>ETS</t>
  </si>
  <si>
    <t>Pronóstico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</si>
</sst>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/mm/yyyy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'Pronóstico General'!$I$1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'Pronóstico General'!$H$2:$H$49</c:f>
              <c:numCache>
                <c:formatCode>m/d/yyyy</c:formatCode>
                <c:ptCount val="48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  <c:pt idx="12">
                  <c:v>45322</c:v>
                </c:pt>
                <c:pt idx="13">
                  <c:v>45351</c:v>
                </c:pt>
                <c:pt idx="14">
                  <c:v>45382</c:v>
                </c:pt>
                <c:pt idx="15">
                  <c:v>45412</c:v>
                </c:pt>
                <c:pt idx="16">
                  <c:v>45443</c:v>
                </c:pt>
                <c:pt idx="17">
                  <c:v>45473</c:v>
                </c:pt>
                <c:pt idx="18">
                  <c:v>45504</c:v>
                </c:pt>
                <c:pt idx="19">
                  <c:v>45535</c:v>
                </c:pt>
                <c:pt idx="20">
                  <c:v>45565</c:v>
                </c:pt>
                <c:pt idx="21">
                  <c:v>45596</c:v>
                </c:pt>
                <c:pt idx="22">
                  <c:v>45626</c:v>
                </c:pt>
                <c:pt idx="23">
                  <c:v>45657</c:v>
                </c:pt>
                <c:pt idx="24">
                  <c:v>45688</c:v>
                </c:pt>
                <c:pt idx="25">
                  <c:v>45716</c:v>
                </c:pt>
                <c:pt idx="26">
                  <c:v>45747</c:v>
                </c:pt>
                <c:pt idx="27">
                  <c:v>45777</c:v>
                </c:pt>
                <c:pt idx="28">
                  <c:v>45808</c:v>
                </c:pt>
                <c:pt idx="29">
                  <c:v>45838</c:v>
                </c:pt>
                <c:pt idx="30">
                  <c:v>45869</c:v>
                </c:pt>
                <c:pt idx="31">
                  <c:v>45900</c:v>
                </c:pt>
                <c:pt idx="32">
                  <c:v>45930</c:v>
                </c:pt>
                <c:pt idx="33">
                  <c:v>45961</c:v>
                </c:pt>
                <c:pt idx="34">
                  <c:v>45991</c:v>
                </c:pt>
                <c:pt idx="35">
                  <c:v>46022</c:v>
                </c:pt>
                <c:pt idx="36">
                  <c:v>46053</c:v>
                </c:pt>
                <c:pt idx="37">
                  <c:v>46081</c:v>
                </c:pt>
                <c:pt idx="38">
                  <c:v>46112</c:v>
                </c:pt>
                <c:pt idx="39">
                  <c:v>46142</c:v>
                </c:pt>
                <c:pt idx="40">
                  <c:v>46173</c:v>
                </c:pt>
                <c:pt idx="41">
                  <c:v>46203</c:v>
                </c:pt>
                <c:pt idx="42">
                  <c:v>46234</c:v>
                </c:pt>
                <c:pt idx="43">
                  <c:v>46265</c:v>
                </c:pt>
                <c:pt idx="44">
                  <c:v>46295</c:v>
                </c:pt>
                <c:pt idx="45">
                  <c:v>46326</c:v>
                </c:pt>
                <c:pt idx="46">
                  <c:v>46356</c:v>
                </c:pt>
                <c:pt idx="47">
                  <c:v>46387</c:v>
                </c:pt>
              </c:numCache>
            </c:numRef>
          </c:cat>
          <c:val>
            <c:numRef>
              <c:f>'Pronóstico General'!$I$2:$I$49</c:f>
              <c:numCache>
                <c:formatCode>General</c:formatCode>
                <c:ptCount val="48"/>
                <c:pt idx="0">
                  <c:v>4379894.6400000034</c:v>
                </c:pt>
                <c:pt idx="1">
                  <c:v>2769477.2099999986</c:v>
                </c:pt>
                <c:pt idx="2">
                  <c:v>3885192.5900000008</c:v>
                </c:pt>
                <c:pt idx="3">
                  <c:v>4347474.2700000033</c:v>
                </c:pt>
                <c:pt idx="4">
                  <c:v>4848240.6200000178</c:v>
                </c:pt>
                <c:pt idx="5">
                  <c:v>4688298.8500000117</c:v>
                </c:pt>
                <c:pt idx="6">
                  <c:v>4515605.3699999992</c:v>
                </c:pt>
                <c:pt idx="7">
                  <c:v>4379811.6300000073</c:v>
                </c:pt>
                <c:pt idx="8">
                  <c:v>4622595.6800000072</c:v>
                </c:pt>
                <c:pt idx="9">
                  <c:v>8677394.9800000228</c:v>
                </c:pt>
                <c:pt idx="10">
                  <c:v>13368079.89000001</c:v>
                </c:pt>
                <c:pt idx="11">
                  <c:v>10273306.929999948</c:v>
                </c:pt>
                <c:pt idx="12">
                  <c:v>4367352.8400000166</c:v>
                </c:pt>
                <c:pt idx="13">
                  <c:v>2930941.4499999955</c:v>
                </c:pt>
                <c:pt idx="14">
                  <c:v>4088588.8100000052</c:v>
                </c:pt>
                <c:pt idx="15">
                  <c:v>4263479.240000003</c:v>
                </c:pt>
                <c:pt idx="16">
                  <c:v>4883303.4299999904</c:v>
                </c:pt>
                <c:pt idx="17">
                  <c:v>4721684.5299999807</c:v>
                </c:pt>
                <c:pt idx="18">
                  <c:v>4367652.5399999861</c:v>
                </c:pt>
                <c:pt idx="19">
                  <c:v>4429328.349999994</c:v>
                </c:pt>
                <c:pt idx="20">
                  <c:v>4846454.5100000016</c:v>
                </c:pt>
                <c:pt idx="21">
                  <c:v>8719541.989999989</c:v>
                </c:pt>
                <c:pt idx="22">
                  <c:v>13899671.910000041</c:v>
                </c:pt>
                <c:pt idx="23">
                  <c:v>10134372.670000024</c:v>
                </c:pt>
                <c:pt idx="24">
                  <c:v>4431286.2030187258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B0-43A9-96C3-59E27ED2173C}"/>
            </c:ext>
          </c:extLst>
        </c:ser>
        <c:ser>
          <c:idx val="1"/>
          <c:order val="1"/>
          <c:tx>
            <c:strRef>
              <c:f>'Pronóstico General'!$J$1</c:f>
              <c:strCache>
                <c:ptCount val="1"/>
                <c:pt idx="0">
                  <c:v>lineal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'Pronóstico General'!$H$2:$H$49</c:f>
              <c:numCache>
                <c:formatCode>m/d/yyyy</c:formatCode>
                <c:ptCount val="48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  <c:pt idx="12">
                  <c:v>45322</c:v>
                </c:pt>
                <c:pt idx="13">
                  <c:v>45351</c:v>
                </c:pt>
                <c:pt idx="14">
                  <c:v>45382</c:v>
                </c:pt>
                <c:pt idx="15">
                  <c:v>45412</c:v>
                </c:pt>
                <c:pt idx="16">
                  <c:v>45443</c:v>
                </c:pt>
                <c:pt idx="17">
                  <c:v>45473</c:v>
                </c:pt>
                <c:pt idx="18">
                  <c:v>45504</c:v>
                </c:pt>
                <c:pt idx="19">
                  <c:v>45535</c:v>
                </c:pt>
                <c:pt idx="20">
                  <c:v>45565</c:v>
                </c:pt>
                <c:pt idx="21">
                  <c:v>45596</c:v>
                </c:pt>
                <c:pt idx="22">
                  <c:v>45626</c:v>
                </c:pt>
                <c:pt idx="23">
                  <c:v>45657</c:v>
                </c:pt>
                <c:pt idx="24">
                  <c:v>45688</c:v>
                </c:pt>
                <c:pt idx="25">
                  <c:v>45716</c:v>
                </c:pt>
                <c:pt idx="26">
                  <c:v>45747</c:v>
                </c:pt>
                <c:pt idx="27">
                  <c:v>45777</c:v>
                </c:pt>
                <c:pt idx="28">
                  <c:v>45808</c:v>
                </c:pt>
                <c:pt idx="29">
                  <c:v>45838</c:v>
                </c:pt>
                <c:pt idx="30">
                  <c:v>45869</c:v>
                </c:pt>
                <c:pt idx="31">
                  <c:v>45900</c:v>
                </c:pt>
                <c:pt idx="32">
                  <c:v>45930</c:v>
                </c:pt>
                <c:pt idx="33">
                  <c:v>45961</c:v>
                </c:pt>
                <c:pt idx="34">
                  <c:v>45991</c:v>
                </c:pt>
                <c:pt idx="35">
                  <c:v>46022</c:v>
                </c:pt>
                <c:pt idx="36">
                  <c:v>46053</c:v>
                </c:pt>
                <c:pt idx="37">
                  <c:v>46081</c:v>
                </c:pt>
                <c:pt idx="38">
                  <c:v>46112</c:v>
                </c:pt>
                <c:pt idx="39">
                  <c:v>46142</c:v>
                </c:pt>
                <c:pt idx="40">
                  <c:v>46173</c:v>
                </c:pt>
                <c:pt idx="41">
                  <c:v>46203</c:v>
                </c:pt>
                <c:pt idx="42">
                  <c:v>46234</c:v>
                </c:pt>
                <c:pt idx="43">
                  <c:v>46265</c:v>
                </c:pt>
                <c:pt idx="44">
                  <c:v>46295</c:v>
                </c:pt>
                <c:pt idx="45">
                  <c:v>46326</c:v>
                </c:pt>
                <c:pt idx="46">
                  <c:v>46356</c:v>
                </c:pt>
                <c:pt idx="47">
                  <c:v>46387</c:v>
                </c:pt>
              </c:numCache>
            </c:numRef>
          </c:cat>
          <c:val>
            <c:numRef>
              <c:f>'Pronóstico General'!$J$2:$J$49</c:f>
              <c:numCache>
                <c:formatCode>General</c:formatCode>
                <c:ptCount val="48"/>
                <c:pt idx="24">
                  <c:v>8116030.5639584363</c:v>
                </c:pt>
                <c:pt idx="25">
                  <c:v>8275942.8615203202</c:v>
                </c:pt>
                <c:pt idx="26">
                  <c:v>8452988.6195352674</c:v>
                </c:pt>
                <c:pt idx="27">
                  <c:v>8624323.2240658402</c:v>
                </c:pt>
                <c:pt idx="28">
                  <c:v>8801368.9820807874</c:v>
                </c:pt>
                <c:pt idx="29">
                  <c:v>8972703.5866113901</c:v>
                </c:pt>
                <c:pt idx="30">
                  <c:v>9149749.3446263373</c:v>
                </c:pt>
                <c:pt idx="31">
                  <c:v>9326795.1026412845</c:v>
                </c:pt>
                <c:pt idx="32">
                  <c:v>9498129.7071718574</c:v>
                </c:pt>
                <c:pt idx="33">
                  <c:v>9675175.4651868045</c:v>
                </c:pt>
                <c:pt idx="34">
                  <c:v>9846510.0697174072</c:v>
                </c:pt>
                <c:pt idx="35">
                  <c:v>10023555.827732354</c:v>
                </c:pt>
                <c:pt idx="36">
                  <c:v>10200601.585747302</c:v>
                </c:pt>
                <c:pt idx="37">
                  <c:v>10360513.883309186</c:v>
                </c:pt>
                <c:pt idx="38">
                  <c:v>10537559.641324133</c:v>
                </c:pt>
                <c:pt idx="39">
                  <c:v>10708894.245854735</c:v>
                </c:pt>
                <c:pt idx="40">
                  <c:v>10885940.003869683</c:v>
                </c:pt>
                <c:pt idx="41">
                  <c:v>11057274.608400255</c:v>
                </c:pt>
                <c:pt idx="42">
                  <c:v>11234320.366415203</c:v>
                </c:pt>
                <c:pt idx="43">
                  <c:v>11411366.12443015</c:v>
                </c:pt>
                <c:pt idx="44">
                  <c:v>11582700.728960752</c:v>
                </c:pt>
                <c:pt idx="45">
                  <c:v>11759746.4869757</c:v>
                </c:pt>
                <c:pt idx="46">
                  <c:v>11931081.091506302</c:v>
                </c:pt>
                <c:pt idx="47">
                  <c:v>12108126.84952122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B0-43A9-96C3-59E27ED2173C}"/>
            </c:ext>
          </c:extLst>
        </c:ser>
        <c:ser>
          <c:idx val="2"/>
          <c:order val="2"/>
          <c:tx>
            <c:strRef>
              <c:f>'Pronóstico General'!$K$1</c:f>
              <c:strCache>
                <c:ptCount val="1"/>
                <c:pt idx="0">
                  <c:v>ETS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'Pronóstico General'!$H$2:$H$49</c:f>
              <c:numCache>
                <c:formatCode>m/d/yyyy</c:formatCode>
                <c:ptCount val="48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  <c:pt idx="12">
                  <c:v>45322</c:v>
                </c:pt>
                <c:pt idx="13">
                  <c:v>45351</c:v>
                </c:pt>
                <c:pt idx="14">
                  <c:v>45382</c:v>
                </c:pt>
                <c:pt idx="15">
                  <c:v>45412</c:v>
                </c:pt>
                <c:pt idx="16">
                  <c:v>45443</c:v>
                </c:pt>
                <c:pt idx="17">
                  <c:v>45473</c:v>
                </c:pt>
                <c:pt idx="18">
                  <c:v>45504</c:v>
                </c:pt>
                <c:pt idx="19">
                  <c:v>45535</c:v>
                </c:pt>
                <c:pt idx="20">
                  <c:v>45565</c:v>
                </c:pt>
                <c:pt idx="21">
                  <c:v>45596</c:v>
                </c:pt>
                <c:pt idx="22">
                  <c:v>45626</c:v>
                </c:pt>
                <c:pt idx="23">
                  <c:v>45657</c:v>
                </c:pt>
                <c:pt idx="24">
                  <c:v>45688</c:v>
                </c:pt>
                <c:pt idx="25">
                  <c:v>45716</c:v>
                </c:pt>
                <c:pt idx="26">
                  <c:v>45747</c:v>
                </c:pt>
                <c:pt idx="27">
                  <c:v>45777</c:v>
                </c:pt>
                <c:pt idx="28">
                  <c:v>45808</c:v>
                </c:pt>
                <c:pt idx="29">
                  <c:v>45838</c:v>
                </c:pt>
                <c:pt idx="30">
                  <c:v>45869</c:v>
                </c:pt>
                <c:pt idx="31">
                  <c:v>45900</c:v>
                </c:pt>
                <c:pt idx="32">
                  <c:v>45930</c:v>
                </c:pt>
                <c:pt idx="33">
                  <c:v>45961</c:v>
                </c:pt>
                <c:pt idx="34">
                  <c:v>45991</c:v>
                </c:pt>
                <c:pt idx="35">
                  <c:v>46022</c:v>
                </c:pt>
                <c:pt idx="36">
                  <c:v>46053</c:v>
                </c:pt>
                <c:pt idx="37">
                  <c:v>46081</c:v>
                </c:pt>
                <c:pt idx="38">
                  <c:v>46112</c:v>
                </c:pt>
                <c:pt idx="39">
                  <c:v>46142</c:v>
                </c:pt>
                <c:pt idx="40">
                  <c:v>46173</c:v>
                </c:pt>
                <c:pt idx="41">
                  <c:v>46203</c:v>
                </c:pt>
                <c:pt idx="42">
                  <c:v>46234</c:v>
                </c:pt>
                <c:pt idx="43">
                  <c:v>46265</c:v>
                </c:pt>
                <c:pt idx="44">
                  <c:v>46295</c:v>
                </c:pt>
                <c:pt idx="45">
                  <c:v>46326</c:v>
                </c:pt>
                <c:pt idx="46">
                  <c:v>46356</c:v>
                </c:pt>
                <c:pt idx="47">
                  <c:v>46387</c:v>
                </c:pt>
              </c:numCache>
            </c:numRef>
          </c:cat>
          <c:val>
            <c:numRef>
              <c:f>'Pronóstico General'!$K$2:$K$49</c:f>
              <c:numCache>
                <c:formatCode>General</c:formatCode>
                <c:ptCount val="48"/>
                <c:pt idx="24">
                  <c:v>4431286.2030187258</c:v>
                </c:pt>
                <c:pt idx="25">
                  <c:v>3133108.0120897493</c:v>
                </c:pt>
                <c:pt idx="26">
                  <c:v>4150961.4733755132</c:v>
                </c:pt>
                <c:pt idx="27">
                  <c:v>4319850.5270999335</c:v>
                </c:pt>
                <c:pt idx="28">
                  <c:v>4944487.1553502679</c:v>
                </c:pt>
                <c:pt idx="29">
                  <c:v>4807398.8735748557</c:v>
                </c:pt>
                <c:pt idx="30">
                  <c:v>4536974.7680730438</c:v>
                </c:pt>
                <c:pt idx="31">
                  <c:v>4501040.8117671609</c:v>
                </c:pt>
                <c:pt idx="32">
                  <c:v>4822284.3580355262</c:v>
                </c:pt>
                <c:pt idx="33">
                  <c:v>8792956.8830741495</c:v>
                </c:pt>
                <c:pt idx="34">
                  <c:v>13567701.425793897</c:v>
                </c:pt>
                <c:pt idx="35">
                  <c:v>10404234.082020223</c:v>
                </c:pt>
                <c:pt idx="36">
                  <c:v>4497829.4570806269</c:v>
                </c:pt>
                <c:pt idx="37">
                  <c:v>3199651.2661516517</c:v>
                </c:pt>
                <c:pt idx="38">
                  <c:v>4217504.7274374142</c:v>
                </c:pt>
                <c:pt idx="39">
                  <c:v>4386393.7811618345</c:v>
                </c:pt>
                <c:pt idx="40">
                  <c:v>5011030.4094121689</c:v>
                </c:pt>
                <c:pt idx="41">
                  <c:v>4873942.1276367558</c:v>
                </c:pt>
                <c:pt idx="42">
                  <c:v>4603518.0221349439</c:v>
                </c:pt>
                <c:pt idx="43">
                  <c:v>4567584.0658290619</c:v>
                </c:pt>
                <c:pt idx="44">
                  <c:v>4888827.6120974272</c:v>
                </c:pt>
                <c:pt idx="45">
                  <c:v>8859500.1371360514</c:v>
                </c:pt>
                <c:pt idx="46">
                  <c:v>13634244.679855797</c:v>
                </c:pt>
                <c:pt idx="47">
                  <c:v>10470777.336082123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B0-43A9-96C3-59E27ED21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44783"/>
        <c:axId val="161645743"/>
      </c:lineChart>
      <c:dateAx>
        <c:axId val="16164478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1645743"/>
        <c:crosses val="autoZero"/>
        <c:auto val="1"/>
        <c:lblOffset val="100"/>
        <c:baseTimeUnit val="months"/>
      </c:dateAx>
      <c:valAx>
        <c:axId val="16164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164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74861312041464"/>
          <c:y val="0.10214971798737925"/>
          <c:w val="0.82819203849518808"/>
          <c:h val="0.66789536599245003"/>
        </c:manualLayout>
      </c:layout>
      <c:lineChart>
        <c:grouping val="standard"/>
        <c:varyColors val="0"/>
        <c:ser>
          <c:idx val="0"/>
          <c:order val="0"/>
          <c:tx>
            <c:strRef>
              <c:f>'Pronóstico por Región'!$G$3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'Pronóstico por Región'!$F$4:$F$51</c:f>
              <c:numCache>
                <c:formatCode>m/d/yyyy</c:formatCode>
                <c:ptCount val="48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  <c:pt idx="12">
                  <c:v>45322</c:v>
                </c:pt>
                <c:pt idx="13">
                  <c:v>45351</c:v>
                </c:pt>
                <c:pt idx="14">
                  <c:v>45382</c:v>
                </c:pt>
                <c:pt idx="15">
                  <c:v>45412</c:v>
                </c:pt>
                <c:pt idx="16">
                  <c:v>45443</c:v>
                </c:pt>
                <c:pt idx="17">
                  <c:v>45473</c:v>
                </c:pt>
                <c:pt idx="18">
                  <c:v>45504</c:v>
                </c:pt>
                <c:pt idx="19">
                  <c:v>45535</c:v>
                </c:pt>
                <c:pt idx="20">
                  <c:v>45565</c:v>
                </c:pt>
                <c:pt idx="21">
                  <c:v>45596</c:v>
                </c:pt>
                <c:pt idx="22">
                  <c:v>45626</c:v>
                </c:pt>
                <c:pt idx="23">
                  <c:v>45657</c:v>
                </c:pt>
                <c:pt idx="24">
                  <c:v>45688</c:v>
                </c:pt>
                <c:pt idx="25">
                  <c:v>45716</c:v>
                </c:pt>
                <c:pt idx="26">
                  <c:v>45747</c:v>
                </c:pt>
                <c:pt idx="27">
                  <c:v>45777</c:v>
                </c:pt>
                <c:pt idx="28">
                  <c:v>45808</c:v>
                </c:pt>
                <c:pt idx="29">
                  <c:v>45838</c:v>
                </c:pt>
                <c:pt idx="30">
                  <c:v>45869</c:v>
                </c:pt>
                <c:pt idx="31">
                  <c:v>45900</c:v>
                </c:pt>
                <c:pt idx="32">
                  <c:v>45930</c:v>
                </c:pt>
                <c:pt idx="33">
                  <c:v>45961</c:v>
                </c:pt>
                <c:pt idx="34">
                  <c:v>45991</c:v>
                </c:pt>
                <c:pt idx="35">
                  <c:v>46022</c:v>
                </c:pt>
                <c:pt idx="36">
                  <c:v>46053</c:v>
                </c:pt>
                <c:pt idx="37">
                  <c:v>46081</c:v>
                </c:pt>
                <c:pt idx="38">
                  <c:v>46112</c:v>
                </c:pt>
                <c:pt idx="39">
                  <c:v>46142</c:v>
                </c:pt>
                <c:pt idx="40">
                  <c:v>46173</c:v>
                </c:pt>
                <c:pt idx="41">
                  <c:v>46203</c:v>
                </c:pt>
                <c:pt idx="42">
                  <c:v>46234</c:v>
                </c:pt>
                <c:pt idx="43">
                  <c:v>46265</c:v>
                </c:pt>
                <c:pt idx="44">
                  <c:v>46295</c:v>
                </c:pt>
                <c:pt idx="45">
                  <c:v>46326</c:v>
                </c:pt>
                <c:pt idx="46">
                  <c:v>46356</c:v>
                </c:pt>
                <c:pt idx="47">
                  <c:v>46387</c:v>
                </c:pt>
              </c:numCache>
            </c:numRef>
          </c:cat>
          <c:val>
            <c:numRef>
              <c:f>'Pronóstico por Región'!$G$4:$G$51</c:f>
              <c:numCache>
                <c:formatCode>General</c:formatCode>
                <c:ptCount val="48"/>
                <c:pt idx="0">
                  <c:v>1153620.9299999983</c:v>
                </c:pt>
                <c:pt idx="1">
                  <c:v>717301.75999999954</c:v>
                </c:pt>
                <c:pt idx="2">
                  <c:v>982558.72999999986</c:v>
                </c:pt>
                <c:pt idx="3">
                  <c:v>1109985.6700000009</c:v>
                </c:pt>
                <c:pt idx="4">
                  <c:v>1209993.96</c:v>
                </c:pt>
                <c:pt idx="5">
                  <c:v>1116002.9300000006</c:v>
                </c:pt>
                <c:pt idx="6">
                  <c:v>1196097.5799999977</c:v>
                </c:pt>
                <c:pt idx="7">
                  <c:v>1126448.9599999986</c:v>
                </c:pt>
                <c:pt idx="8">
                  <c:v>1139304.9500000004</c:v>
                </c:pt>
                <c:pt idx="9">
                  <c:v>2264490.3699999927</c:v>
                </c:pt>
                <c:pt idx="10">
                  <c:v>3316020.8100000066</c:v>
                </c:pt>
                <c:pt idx="11">
                  <c:v>2662695.570000005</c:v>
                </c:pt>
                <c:pt idx="12">
                  <c:v>1092364.3200000003</c:v>
                </c:pt>
                <c:pt idx="13">
                  <c:v>764580.4299999997</c:v>
                </c:pt>
                <c:pt idx="14">
                  <c:v>1056095.040000001</c:v>
                </c:pt>
                <c:pt idx="15">
                  <c:v>1070392.54</c:v>
                </c:pt>
                <c:pt idx="16">
                  <c:v>1212266.8700000006</c:v>
                </c:pt>
                <c:pt idx="17">
                  <c:v>1223419.7199999981</c:v>
                </c:pt>
                <c:pt idx="18">
                  <c:v>1119772.7500000007</c:v>
                </c:pt>
                <c:pt idx="19">
                  <c:v>1082424.9600000011</c:v>
                </c:pt>
                <c:pt idx="20">
                  <c:v>1226049.3000000017</c:v>
                </c:pt>
                <c:pt idx="21">
                  <c:v>2104241.2699999996</c:v>
                </c:pt>
                <c:pt idx="22">
                  <c:v>3526314.4300000072</c:v>
                </c:pt>
                <c:pt idx="23">
                  <c:v>2609450.4900000016</c:v>
                </c:pt>
                <c:pt idx="24">
                  <c:v>1038975.4202766467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45-40FA-B54D-6932E1807D72}"/>
            </c:ext>
          </c:extLst>
        </c:ser>
        <c:ser>
          <c:idx val="1"/>
          <c:order val="1"/>
          <c:tx>
            <c:strRef>
              <c:f>'Pronóstico por Región'!$H$3</c:f>
              <c:strCache>
                <c:ptCount val="1"/>
                <c:pt idx="0">
                  <c:v>Pronóstico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'Pronóstico por Región'!$F$4:$F$51</c:f>
              <c:numCache>
                <c:formatCode>m/d/yyyy</c:formatCode>
                <c:ptCount val="48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  <c:pt idx="12">
                  <c:v>45322</c:v>
                </c:pt>
                <c:pt idx="13">
                  <c:v>45351</c:v>
                </c:pt>
                <c:pt idx="14">
                  <c:v>45382</c:v>
                </c:pt>
                <c:pt idx="15">
                  <c:v>45412</c:v>
                </c:pt>
                <c:pt idx="16">
                  <c:v>45443</c:v>
                </c:pt>
                <c:pt idx="17">
                  <c:v>45473</c:v>
                </c:pt>
                <c:pt idx="18">
                  <c:v>45504</c:v>
                </c:pt>
                <c:pt idx="19">
                  <c:v>45535</c:v>
                </c:pt>
                <c:pt idx="20">
                  <c:v>45565</c:v>
                </c:pt>
                <c:pt idx="21">
                  <c:v>45596</c:v>
                </c:pt>
                <c:pt idx="22">
                  <c:v>45626</c:v>
                </c:pt>
                <c:pt idx="23">
                  <c:v>45657</c:v>
                </c:pt>
                <c:pt idx="24">
                  <c:v>45688</c:v>
                </c:pt>
                <c:pt idx="25">
                  <c:v>45716</c:v>
                </c:pt>
                <c:pt idx="26">
                  <c:v>45747</c:v>
                </c:pt>
                <c:pt idx="27">
                  <c:v>45777</c:v>
                </c:pt>
                <c:pt idx="28">
                  <c:v>45808</c:v>
                </c:pt>
                <c:pt idx="29">
                  <c:v>45838</c:v>
                </c:pt>
                <c:pt idx="30">
                  <c:v>45869</c:v>
                </c:pt>
                <c:pt idx="31">
                  <c:v>45900</c:v>
                </c:pt>
                <c:pt idx="32">
                  <c:v>45930</c:v>
                </c:pt>
                <c:pt idx="33">
                  <c:v>45961</c:v>
                </c:pt>
                <c:pt idx="34">
                  <c:v>45991</c:v>
                </c:pt>
                <c:pt idx="35">
                  <c:v>46022</c:v>
                </c:pt>
                <c:pt idx="36">
                  <c:v>46053</c:v>
                </c:pt>
                <c:pt idx="37">
                  <c:v>46081</c:v>
                </c:pt>
                <c:pt idx="38">
                  <c:v>46112</c:v>
                </c:pt>
                <c:pt idx="39">
                  <c:v>46142</c:v>
                </c:pt>
                <c:pt idx="40">
                  <c:v>46173</c:v>
                </c:pt>
                <c:pt idx="41">
                  <c:v>46203</c:v>
                </c:pt>
                <c:pt idx="42">
                  <c:v>46234</c:v>
                </c:pt>
                <c:pt idx="43">
                  <c:v>46265</c:v>
                </c:pt>
                <c:pt idx="44">
                  <c:v>46295</c:v>
                </c:pt>
                <c:pt idx="45">
                  <c:v>46326</c:v>
                </c:pt>
                <c:pt idx="46">
                  <c:v>46356</c:v>
                </c:pt>
                <c:pt idx="47">
                  <c:v>46387</c:v>
                </c:pt>
              </c:numCache>
            </c:numRef>
          </c:cat>
          <c:val>
            <c:numRef>
              <c:f>'Pronóstico por Región'!$H$4:$H$51</c:f>
              <c:numCache>
                <c:formatCode>General</c:formatCode>
                <c:ptCount val="48"/>
                <c:pt idx="24">
                  <c:v>1038975.4202766467</c:v>
                </c:pt>
                <c:pt idx="25">
                  <c:v>742627.17503948673</c:v>
                </c:pt>
                <c:pt idx="26">
                  <c:v>1002169.9801590824</c:v>
                </c:pt>
                <c:pt idx="27">
                  <c:v>1015929.3834327471</c:v>
                </c:pt>
                <c:pt idx="28">
                  <c:v>1158011.7320494424</c:v>
                </c:pt>
                <c:pt idx="29">
                  <c:v>1120370.6721594045</c:v>
                </c:pt>
                <c:pt idx="30">
                  <c:v>1105701.6604454033</c:v>
                </c:pt>
                <c:pt idx="31">
                  <c:v>1052821.0240315758</c:v>
                </c:pt>
                <c:pt idx="32">
                  <c:v>1129662.9932167353</c:v>
                </c:pt>
                <c:pt idx="33">
                  <c:v>2132723.7629137058</c:v>
                </c:pt>
                <c:pt idx="34">
                  <c:v>3329319.7660380863</c:v>
                </c:pt>
                <c:pt idx="35">
                  <c:v>2614677.6015273989</c:v>
                </c:pt>
                <c:pt idx="36">
                  <c:v>1044202.531804044</c:v>
                </c:pt>
                <c:pt idx="37">
                  <c:v>747854.28656688437</c:v>
                </c:pt>
                <c:pt idx="38">
                  <c:v>1007397.0916864797</c:v>
                </c:pt>
                <c:pt idx="39">
                  <c:v>1021156.4949601444</c:v>
                </c:pt>
                <c:pt idx="40">
                  <c:v>1163238.8435768399</c:v>
                </c:pt>
                <c:pt idx="41">
                  <c:v>1125597.7836868018</c:v>
                </c:pt>
                <c:pt idx="42">
                  <c:v>1110928.7719728006</c:v>
                </c:pt>
                <c:pt idx="43">
                  <c:v>1058048.1355589733</c:v>
                </c:pt>
                <c:pt idx="44">
                  <c:v>1134890.1047441326</c:v>
                </c:pt>
                <c:pt idx="45">
                  <c:v>2137950.8744411031</c:v>
                </c:pt>
                <c:pt idx="46">
                  <c:v>3334546.8775654836</c:v>
                </c:pt>
                <c:pt idx="47">
                  <c:v>2619904.7130547962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45-40FA-B54D-6932E1807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0045248"/>
        <c:axId val="600045728"/>
      </c:lineChart>
      <c:dateAx>
        <c:axId val="6000452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0045728"/>
        <c:crosses val="autoZero"/>
        <c:auto val="1"/>
        <c:lblOffset val="100"/>
        <c:baseTimeUnit val="months"/>
      </c:dateAx>
      <c:valAx>
        <c:axId val="60004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00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612384181290103"/>
          <c:y val="0.93306695705590004"/>
          <c:w val="0.2303515146160727"/>
          <c:h val="5.98408443625397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190499</xdr:colOff>
      <xdr:row>0</xdr:row>
      <xdr:rowOff>138112</xdr:rowOff>
    </xdr:from>
    <xdr:to>
      <xdr:col>20</xdr:col>
      <xdr:colOff>504824</xdr:colOff>
      <xdr:row>28</xdr:row>
      <xdr:rowOff>95250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5FAA008-27DF-E786-851D-B5B4A649D4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190499</xdr:colOff>
      <xdr:row>3</xdr:row>
      <xdr:rowOff>9525</xdr:rowOff>
    </xdr:from>
    <xdr:to>
      <xdr:col>17</xdr:col>
      <xdr:colOff>123824</xdr:colOff>
      <xdr:row>21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55678-B3EE-1297-7E8A-14F3DA574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0.36875</cdr:x>
      <cdr:y>0.0124</cdr:y>
    </cdr:from>
    <cdr:to>
      <cdr:x>0.67041</cdr:x>
      <cdr:y>0.31008</cdr:y>
    </cdr:to>
    <cdr:sp macro="" textlink="'Pronóstico por Región'!$I$1">
      <cdr:nvSpPr>
        <cdr:cNvPr id="3" name="CuadroTexto 2">
          <a:extLst xmlns:a="http://schemas.openxmlformats.org/drawingml/2006/main">
            <a:ext uri="{FF2B5EF4-FFF2-40B4-BE49-F238E27FC236}">
              <a16:creationId xmlns:a16="http://schemas.microsoft.com/office/drawing/2014/main" id="{60183A4B-9839-E830-295D-491A24561C75}"/>
            </a:ext>
          </a:extLst>
        </cdr:cNvPr>
        <cdr:cNvSpPr txBox="1"/>
      </cdr:nvSpPr>
      <cdr:spPr>
        <a:xfrm xmlns:a="http://schemas.openxmlformats.org/drawingml/2006/main">
          <a:off x="2504301" y="44420"/>
          <a:ext cx="2048650" cy="10660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9AC0A106-4B17-4125-9499-3AA8885DCE68}" type="TxLink">
            <a:rPr lang="en-US" sz="1400" b="1" i="0" u="none" strike="noStrike" kern="1200">
              <a:solidFill>
                <a:srgbClr val="000000"/>
              </a:solidFill>
              <a:latin typeface="Aptos Narrow"/>
            </a:rPr>
            <a:t>Venta de Región Centre</a:t>
          </a:fld>
          <a:endParaRPr lang="es-CO" sz="1400" b="1" kern="1200"/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1FE38B-898B-4B45-AD5A-FAD5FCEBD129}" name="VentasPorPeriodo" displayName="VentasPorPeriodo" ref="A1:B25" totalsRowShown="0">
  <autoFilter ref="A1:B25" xr:uid="{BC1FE38B-898B-4B45-AD5A-FAD5FCEBD129}"/>
  <tableColumns count="2">
    <tableColumn id="1" xr3:uid="{B4DCA6A0-2463-41DB-B7BC-3E4EF21624E9}" name="Fecha" dataDxfId="1"/>
    <tableColumn id="2" xr3:uid="{15FC43E5-CEA8-4015-B741-3F71A3528547}" name="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B244B6-FE31-47B3-831D-24C3740075D6}" name="VentasPorTienda" displayName="VentasPorTienda" ref="A1:C97" totalsRowShown="0">
  <autoFilter ref="A1:C97" xr:uid="{03B244B6-FE31-47B3-831D-24C3740075D6}"/>
  <tableColumns count="3">
    <tableColumn id="1" xr3:uid="{030E95C5-55C0-4B47-9B3D-C638200AA2C9}" name="Region"/>
    <tableColumn id="2" xr3:uid="{0BBF14FC-EB57-40C7-A7D1-48121E924212}" name="Fin de mes" dataDxfId="0"/>
    <tableColumn id="3" xr3:uid="{E78B574D-45BA-469D-9CF0-70EE2750CD34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FB408-B8C0-4699-B92B-A8FC3CD92D85}">
  <dimension ref="A1:K49"/>
  <sheetViews>
    <sheetView workbookViewId="0">
      <selection activeCell="E12" sqref="E12"/>
    </sheetView>
  </sheetViews>
  <sheetFormatPr baseColWidth="10" defaultRowHeight="15" x14ac:dyDescent="0.25"/>
  <cols>
    <col min="1" max="1" width="12.85546875" customWidth="1"/>
    <col min="6" max="6" width="10.85546875" customWidth="1"/>
  </cols>
  <sheetData>
    <row r="1" spans="1:11" x14ac:dyDescent="0.25">
      <c r="A1" t="s">
        <v>8</v>
      </c>
      <c r="B1" t="s">
        <v>1</v>
      </c>
      <c r="D1" t="s">
        <v>8</v>
      </c>
      <c r="E1" t="s">
        <v>9</v>
      </c>
      <c r="F1" t="s">
        <v>10</v>
      </c>
      <c r="H1" t="s">
        <v>8</v>
      </c>
      <c r="I1" t="s">
        <v>2</v>
      </c>
      <c r="J1" t="s">
        <v>11</v>
      </c>
      <c r="K1" t="s">
        <v>12</v>
      </c>
    </row>
    <row r="2" spans="1:11" x14ac:dyDescent="0.25">
      <c r="A2" s="1">
        <v>44957</v>
      </c>
      <c r="B2">
        <v>4379894.6400000034</v>
      </c>
      <c r="D2" s="1">
        <f>EOMONTH(A25,1)</f>
        <v>45688</v>
      </c>
      <c r="E2" cm="1">
        <f t="array" ref="E2:E25">_xlfn.FORECAST.LINEAR(D2:D25,VentasPorPeriodo[Revenue],VentasPorPeriodo[Fecha])</f>
        <v>8116030.5639584363</v>
      </c>
      <c r="F2" cm="1">
        <f t="array" ref="F2:F25">_xlfn.FORECAST.ETS(D2:D25,VentasPorPeriodo[Revenue],VentasPorPeriodo[Fecha],12,1,1)</f>
        <v>4431286.2030187258</v>
      </c>
      <c r="H2" s="1" cm="1">
        <f t="array" ref="H2:H49">_xlfn.VSTACK(VentasPorPeriodo[Fecha],D2:D25)</f>
        <v>44957</v>
      </c>
      <c r="I2" cm="1">
        <f t="array" ref="I2:I25">VentasPorPeriodo[Revenue]</f>
        <v>4379894.6400000034</v>
      </c>
    </row>
    <row r="3" spans="1:11" x14ac:dyDescent="0.25">
      <c r="A3" s="1">
        <v>44985</v>
      </c>
      <c r="B3">
        <v>2769477.2099999986</v>
      </c>
      <c r="D3" s="1">
        <f>EOMONTH(D2,1)</f>
        <v>45716</v>
      </c>
      <c r="E3">
        <v>8275942.8615203202</v>
      </c>
      <c r="F3">
        <v>3133108.0120897493</v>
      </c>
      <c r="H3" s="1">
        <v>44985</v>
      </c>
      <c r="I3">
        <v>2769477.2099999986</v>
      </c>
    </row>
    <row r="4" spans="1:11" x14ac:dyDescent="0.25">
      <c r="A4" s="1">
        <v>45016</v>
      </c>
      <c r="B4">
        <v>3885192.5900000008</v>
      </c>
      <c r="D4" s="1">
        <f t="shared" ref="D4:D24" si="0">EOMONTH(D3,1)</f>
        <v>45747</v>
      </c>
      <c r="E4">
        <v>8452988.6195352674</v>
      </c>
      <c r="F4">
        <v>4150961.4733755132</v>
      </c>
      <c r="H4" s="1">
        <v>45016</v>
      </c>
      <c r="I4">
        <v>3885192.5900000008</v>
      </c>
    </row>
    <row r="5" spans="1:11" x14ac:dyDescent="0.25">
      <c r="A5" s="1">
        <v>45046</v>
      </c>
      <c r="B5">
        <v>4347474.2700000033</v>
      </c>
      <c r="D5" s="1">
        <f t="shared" si="0"/>
        <v>45777</v>
      </c>
      <c r="E5">
        <v>8624323.2240658402</v>
      </c>
      <c r="F5">
        <v>4319850.5270999335</v>
      </c>
      <c r="H5" s="1">
        <v>45046</v>
      </c>
      <c r="I5">
        <v>4347474.2700000033</v>
      </c>
    </row>
    <row r="6" spans="1:11" x14ac:dyDescent="0.25">
      <c r="A6" s="1">
        <v>45077</v>
      </c>
      <c r="B6">
        <v>4848240.6200000178</v>
      </c>
      <c r="D6" s="1">
        <f t="shared" si="0"/>
        <v>45808</v>
      </c>
      <c r="E6">
        <v>8801368.9820807874</v>
      </c>
      <c r="F6">
        <v>4944487.1553502679</v>
      </c>
      <c r="H6" s="1">
        <v>45077</v>
      </c>
      <c r="I6">
        <v>4848240.6200000178</v>
      </c>
    </row>
    <row r="7" spans="1:11" x14ac:dyDescent="0.25">
      <c r="A7" s="1">
        <v>45107</v>
      </c>
      <c r="B7">
        <v>4688298.8500000117</v>
      </c>
      <c r="D7" s="1">
        <f t="shared" si="0"/>
        <v>45838</v>
      </c>
      <c r="E7">
        <v>8972703.5866113901</v>
      </c>
      <c r="F7">
        <v>4807398.8735748557</v>
      </c>
      <c r="H7" s="1">
        <v>45107</v>
      </c>
      <c r="I7">
        <v>4688298.8500000117</v>
      </c>
    </row>
    <row r="8" spans="1:11" x14ac:dyDescent="0.25">
      <c r="A8" s="1">
        <v>45138</v>
      </c>
      <c r="B8">
        <v>4515605.3699999992</v>
      </c>
      <c r="D8" s="1">
        <f t="shared" si="0"/>
        <v>45869</v>
      </c>
      <c r="E8">
        <v>9149749.3446263373</v>
      </c>
      <c r="F8">
        <v>4536974.7680730438</v>
      </c>
      <c r="H8" s="1">
        <v>45138</v>
      </c>
      <c r="I8">
        <v>4515605.3699999992</v>
      </c>
    </row>
    <row r="9" spans="1:11" x14ac:dyDescent="0.25">
      <c r="A9" s="1">
        <v>45169</v>
      </c>
      <c r="B9">
        <v>4379811.6300000073</v>
      </c>
      <c r="D9" s="1">
        <f t="shared" si="0"/>
        <v>45900</v>
      </c>
      <c r="E9">
        <v>9326795.1026412845</v>
      </c>
      <c r="F9">
        <v>4501040.8117671609</v>
      </c>
      <c r="H9" s="1">
        <v>45169</v>
      </c>
      <c r="I9">
        <v>4379811.6300000073</v>
      </c>
    </row>
    <row r="10" spans="1:11" x14ac:dyDescent="0.25">
      <c r="A10" s="1">
        <v>45199</v>
      </c>
      <c r="B10">
        <v>4622595.6800000072</v>
      </c>
      <c r="D10" s="1">
        <f t="shared" si="0"/>
        <v>45930</v>
      </c>
      <c r="E10">
        <v>9498129.7071718574</v>
      </c>
      <c r="F10">
        <v>4822284.3580355262</v>
      </c>
      <c r="H10" s="1">
        <v>45199</v>
      </c>
      <c r="I10">
        <v>4622595.6800000072</v>
      </c>
    </row>
    <row r="11" spans="1:11" x14ac:dyDescent="0.25">
      <c r="A11" s="1">
        <v>45230</v>
      </c>
      <c r="B11">
        <v>8677394.9800000228</v>
      </c>
      <c r="D11" s="1">
        <f t="shared" si="0"/>
        <v>45961</v>
      </c>
      <c r="E11">
        <v>9675175.4651868045</v>
      </c>
      <c r="F11">
        <v>8792956.8830741495</v>
      </c>
      <c r="H11" s="1">
        <v>45230</v>
      </c>
      <c r="I11">
        <v>8677394.9800000228</v>
      </c>
    </row>
    <row r="12" spans="1:11" x14ac:dyDescent="0.25">
      <c r="A12" s="1">
        <v>45260</v>
      </c>
      <c r="B12">
        <v>13368079.89000001</v>
      </c>
      <c r="D12" s="1">
        <f t="shared" si="0"/>
        <v>45991</v>
      </c>
      <c r="E12">
        <v>9846510.0697174072</v>
      </c>
      <c r="F12">
        <v>13567701.425793897</v>
      </c>
      <c r="H12" s="1">
        <v>45260</v>
      </c>
      <c r="I12">
        <v>13368079.89000001</v>
      </c>
    </row>
    <row r="13" spans="1:11" x14ac:dyDescent="0.25">
      <c r="A13" s="1">
        <v>45291</v>
      </c>
      <c r="B13">
        <v>10273306.929999948</v>
      </c>
      <c r="D13" s="1">
        <f t="shared" si="0"/>
        <v>46022</v>
      </c>
      <c r="E13">
        <v>10023555.827732354</v>
      </c>
      <c r="F13">
        <v>10404234.082020223</v>
      </c>
      <c r="H13" s="1">
        <v>45291</v>
      </c>
      <c r="I13">
        <v>10273306.929999948</v>
      </c>
    </row>
    <row r="14" spans="1:11" x14ac:dyDescent="0.25">
      <c r="A14" s="1">
        <v>45322</v>
      </c>
      <c r="B14">
        <v>4367352.8400000166</v>
      </c>
      <c r="D14" s="1">
        <f t="shared" si="0"/>
        <v>46053</v>
      </c>
      <c r="E14">
        <v>10200601.585747302</v>
      </c>
      <c r="F14">
        <v>4497829.4570806269</v>
      </c>
      <c r="H14" s="1">
        <v>45322</v>
      </c>
      <c r="I14">
        <v>4367352.8400000166</v>
      </c>
    </row>
    <row r="15" spans="1:11" x14ac:dyDescent="0.25">
      <c r="A15" s="1">
        <v>45351</v>
      </c>
      <c r="B15">
        <v>2930941.4499999955</v>
      </c>
      <c r="D15" s="1">
        <f t="shared" si="0"/>
        <v>46081</v>
      </c>
      <c r="E15">
        <v>10360513.883309186</v>
      </c>
      <c r="F15">
        <v>3199651.2661516517</v>
      </c>
      <c r="H15" s="1">
        <v>45351</v>
      </c>
      <c r="I15">
        <v>2930941.4499999955</v>
      </c>
    </row>
    <row r="16" spans="1:11" x14ac:dyDescent="0.25">
      <c r="A16" s="1">
        <v>45382</v>
      </c>
      <c r="B16">
        <v>4088588.8100000052</v>
      </c>
      <c r="D16" s="1">
        <f t="shared" si="0"/>
        <v>46112</v>
      </c>
      <c r="E16">
        <v>10537559.641324133</v>
      </c>
      <c r="F16">
        <v>4217504.7274374142</v>
      </c>
      <c r="H16" s="1">
        <v>45382</v>
      </c>
      <c r="I16">
        <v>4088588.8100000052</v>
      </c>
    </row>
    <row r="17" spans="1:11" x14ac:dyDescent="0.25">
      <c r="A17" s="1">
        <v>45412</v>
      </c>
      <c r="B17">
        <v>4263479.240000003</v>
      </c>
      <c r="D17" s="1">
        <f t="shared" si="0"/>
        <v>46142</v>
      </c>
      <c r="E17">
        <v>10708894.245854735</v>
      </c>
      <c r="F17">
        <v>4386393.7811618345</v>
      </c>
      <c r="H17" s="1">
        <v>45412</v>
      </c>
      <c r="I17">
        <v>4263479.240000003</v>
      </c>
    </row>
    <row r="18" spans="1:11" x14ac:dyDescent="0.25">
      <c r="A18" s="1">
        <v>45443</v>
      </c>
      <c r="B18">
        <v>4883303.4299999904</v>
      </c>
      <c r="D18" s="1">
        <f t="shared" si="0"/>
        <v>46173</v>
      </c>
      <c r="E18">
        <v>10885940.003869683</v>
      </c>
      <c r="F18">
        <v>5011030.4094121689</v>
      </c>
      <c r="H18" s="1">
        <v>45443</v>
      </c>
      <c r="I18">
        <v>4883303.4299999904</v>
      </c>
    </row>
    <row r="19" spans="1:11" x14ac:dyDescent="0.25">
      <c r="A19" s="1">
        <v>45473</v>
      </c>
      <c r="B19">
        <v>4721684.5299999807</v>
      </c>
      <c r="D19" s="1">
        <f t="shared" si="0"/>
        <v>46203</v>
      </c>
      <c r="E19">
        <v>11057274.608400255</v>
      </c>
      <c r="F19">
        <v>4873942.1276367558</v>
      </c>
      <c r="H19" s="1">
        <v>45473</v>
      </c>
      <c r="I19">
        <v>4721684.5299999807</v>
      </c>
    </row>
    <row r="20" spans="1:11" x14ac:dyDescent="0.25">
      <c r="A20" s="1">
        <v>45504</v>
      </c>
      <c r="B20">
        <v>4367652.5399999861</v>
      </c>
      <c r="D20" s="1">
        <f t="shared" si="0"/>
        <v>46234</v>
      </c>
      <c r="E20">
        <v>11234320.366415203</v>
      </c>
      <c r="F20">
        <v>4603518.0221349439</v>
      </c>
      <c r="H20" s="1">
        <v>45504</v>
      </c>
      <c r="I20">
        <v>4367652.5399999861</v>
      </c>
    </row>
    <row r="21" spans="1:11" x14ac:dyDescent="0.25">
      <c r="A21" s="1">
        <v>45535</v>
      </c>
      <c r="B21">
        <v>4429328.349999994</v>
      </c>
      <c r="D21" s="1">
        <f t="shared" si="0"/>
        <v>46265</v>
      </c>
      <c r="E21">
        <v>11411366.12443015</v>
      </c>
      <c r="F21">
        <v>4567584.0658290619</v>
      </c>
      <c r="H21" s="1">
        <v>45535</v>
      </c>
      <c r="I21">
        <v>4429328.349999994</v>
      </c>
    </row>
    <row r="22" spans="1:11" x14ac:dyDescent="0.25">
      <c r="A22" s="1">
        <v>45565</v>
      </c>
      <c r="B22">
        <v>4846454.5100000016</v>
      </c>
      <c r="D22" s="1">
        <f t="shared" si="0"/>
        <v>46295</v>
      </c>
      <c r="E22">
        <v>11582700.728960752</v>
      </c>
      <c r="F22">
        <v>4888827.6120974272</v>
      </c>
      <c r="H22" s="1">
        <v>45565</v>
      </c>
      <c r="I22">
        <v>4846454.5100000016</v>
      </c>
    </row>
    <row r="23" spans="1:11" x14ac:dyDescent="0.25">
      <c r="A23" s="1">
        <v>45596</v>
      </c>
      <c r="B23">
        <v>8719541.989999989</v>
      </c>
      <c r="D23" s="1">
        <f t="shared" si="0"/>
        <v>46326</v>
      </c>
      <c r="E23">
        <v>11759746.4869757</v>
      </c>
      <c r="F23">
        <v>8859500.1371360514</v>
      </c>
      <c r="H23" s="1">
        <v>45596</v>
      </c>
      <c r="I23">
        <v>8719541.989999989</v>
      </c>
    </row>
    <row r="24" spans="1:11" x14ac:dyDescent="0.25">
      <c r="A24" s="1">
        <v>45626</v>
      </c>
      <c r="B24">
        <v>13899671.910000041</v>
      </c>
      <c r="D24" s="1">
        <f t="shared" si="0"/>
        <v>46356</v>
      </c>
      <c r="E24">
        <v>11931081.091506302</v>
      </c>
      <c r="F24">
        <v>13634244.679855797</v>
      </c>
      <c r="H24" s="1">
        <v>45626</v>
      </c>
      <c r="I24">
        <v>13899671.910000041</v>
      </c>
    </row>
    <row r="25" spans="1:11" x14ac:dyDescent="0.25">
      <c r="A25" s="1">
        <v>45657</v>
      </c>
      <c r="B25">
        <v>10134372.670000024</v>
      </c>
      <c r="D25" s="1">
        <f t="shared" ref="D25" si="1">EOMONTH(D24,1)</f>
        <v>46387</v>
      </c>
      <c r="E25">
        <v>12108126.84952122</v>
      </c>
      <c r="F25">
        <v>10470777.336082123</v>
      </c>
      <c r="H25" s="1">
        <v>45657</v>
      </c>
      <c r="I25">
        <v>10134372.670000024</v>
      </c>
    </row>
    <row r="26" spans="1:11" x14ac:dyDescent="0.25">
      <c r="H26" s="1">
        <v>45688</v>
      </c>
      <c r="I26">
        <f>K26</f>
        <v>4431286.2030187258</v>
      </c>
      <c r="J26" cm="1">
        <f t="array" ref="J26:J49">_xlfn.ANCHORARRAY(E2)</f>
        <v>8116030.5639584363</v>
      </c>
      <c r="K26" cm="1">
        <f t="array" ref="K26:K49">_xlfn.ANCHORARRAY(F2)</f>
        <v>4431286.2030187258</v>
      </c>
    </row>
    <row r="27" spans="1:11" x14ac:dyDescent="0.25">
      <c r="H27" s="1">
        <v>45716</v>
      </c>
      <c r="J27">
        <v>8275942.8615203202</v>
      </c>
      <c r="K27">
        <v>3133108.0120897493</v>
      </c>
    </row>
    <row r="28" spans="1:11" x14ac:dyDescent="0.25">
      <c r="H28" s="1">
        <v>45747</v>
      </c>
      <c r="J28">
        <v>8452988.6195352674</v>
      </c>
      <c r="K28">
        <v>4150961.4733755132</v>
      </c>
    </row>
    <row r="29" spans="1:11" x14ac:dyDescent="0.25">
      <c r="H29" s="1">
        <v>45777</v>
      </c>
      <c r="J29">
        <v>8624323.2240658402</v>
      </c>
      <c r="K29">
        <v>4319850.5270999335</v>
      </c>
    </row>
    <row r="30" spans="1:11" x14ac:dyDescent="0.25">
      <c r="H30" s="1">
        <v>45808</v>
      </c>
      <c r="J30">
        <v>8801368.9820807874</v>
      </c>
      <c r="K30">
        <v>4944487.1553502679</v>
      </c>
    </row>
    <row r="31" spans="1:11" x14ac:dyDescent="0.25">
      <c r="H31" s="1">
        <v>45838</v>
      </c>
      <c r="J31">
        <v>8972703.5866113901</v>
      </c>
      <c r="K31">
        <v>4807398.8735748557</v>
      </c>
    </row>
    <row r="32" spans="1:11" x14ac:dyDescent="0.25">
      <c r="H32" s="1">
        <v>45869</v>
      </c>
      <c r="J32">
        <v>9149749.3446263373</v>
      </c>
      <c r="K32">
        <v>4536974.7680730438</v>
      </c>
    </row>
    <row r="33" spans="8:11" x14ac:dyDescent="0.25">
      <c r="H33" s="1">
        <v>45900</v>
      </c>
      <c r="J33">
        <v>9326795.1026412845</v>
      </c>
      <c r="K33">
        <v>4501040.8117671609</v>
      </c>
    </row>
    <row r="34" spans="8:11" x14ac:dyDescent="0.25">
      <c r="H34" s="1">
        <v>45930</v>
      </c>
      <c r="J34">
        <v>9498129.7071718574</v>
      </c>
      <c r="K34">
        <v>4822284.3580355262</v>
      </c>
    </row>
    <row r="35" spans="8:11" x14ac:dyDescent="0.25">
      <c r="H35" s="1">
        <v>45961</v>
      </c>
      <c r="J35">
        <v>9675175.4651868045</v>
      </c>
      <c r="K35">
        <v>8792956.8830741495</v>
      </c>
    </row>
    <row r="36" spans="8:11" x14ac:dyDescent="0.25">
      <c r="H36" s="1">
        <v>45991</v>
      </c>
      <c r="J36">
        <v>9846510.0697174072</v>
      </c>
      <c r="K36">
        <v>13567701.425793897</v>
      </c>
    </row>
    <row r="37" spans="8:11" x14ac:dyDescent="0.25">
      <c r="H37" s="1">
        <v>46022</v>
      </c>
      <c r="J37">
        <v>10023555.827732354</v>
      </c>
      <c r="K37">
        <v>10404234.082020223</v>
      </c>
    </row>
    <row r="38" spans="8:11" x14ac:dyDescent="0.25">
      <c r="H38" s="1">
        <v>46053</v>
      </c>
      <c r="J38">
        <v>10200601.585747302</v>
      </c>
      <c r="K38">
        <v>4497829.4570806269</v>
      </c>
    </row>
    <row r="39" spans="8:11" x14ac:dyDescent="0.25">
      <c r="H39" s="1">
        <v>46081</v>
      </c>
      <c r="J39">
        <v>10360513.883309186</v>
      </c>
      <c r="K39">
        <v>3199651.2661516517</v>
      </c>
    </row>
    <row r="40" spans="8:11" x14ac:dyDescent="0.25">
      <c r="H40" s="1">
        <v>46112</v>
      </c>
      <c r="J40">
        <v>10537559.641324133</v>
      </c>
      <c r="K40">
        <v>4217504.7274374142</v>
      </c>
    </row>
    <row r="41" spans="8:11" x14ac:dyDescent="0.25">
      <c r="H41" s="1">
        <v>46142</v>
      </c>
      <c r="J41">
        <v>10708894.245854735</v>
      </c>
      <c r="K41">
        <v>4386393.7811618345</v>
      </c>
    </row>
    <row r="42" spans="8:11" x14ac:dyDescent="0.25">
      <c r="H42" s="1">
        <v>46173</v>
      </c>
      <c r="J42">
        <v>10885940.003869683</v>
      </c>
      <c r="K42">
        <v>5011030.4094121689</v>
      </c>
    </row>
    <row r="43" spans="8:11" x14ac:dyDescent="0.25">
      <c r="H43" s="1">
        <v>46203</v>
      </c>
      <c r="J43">
        <v>11057274.608400255</v>
      </c>
      <c r="K43">
        <v>4873942.1276367558</v>
      </c>
    </row>
    <row r="44" spans="8:11" x14ac:dyDescent="0.25">
      <c r="H44" s="1">
        <v>46234</v>
      </c>
      <c r="J44">
        <v>11234320.366415203</v>
      </c>
      <c r="K44">
        <v>4603518.0221349439</v>
      </c>
    </row>
    <row r="45" spans="8:11" x14ac:dyDescent="0.25">
      <c r="H45" s="1">
        <v>46265</v>
      </c>
      <c r="J45">
        <v>11411366.12443015</v>
      </c>
      <c r="K45">
        <v>4567584.0658290619</v>
      </c>
    </row>
    <row r="46" spans="8:11" x14ac:dyDescent="0.25">
      <c r="H46" s="1">
        <v>46295</v>
      </c>
      <c r="J46">
        <v>11582700.728960752</v>
      </c>
      <c r="K46">
        <v>4888827.6120974272</v>
      </c>
    </row>
    <row r="47" spans="8:11" x14ac:dyDescent="0.25">
      <c r="H47" s="1">
        <v>46326</v>
      </c>
      <c r="J47">
        <v>11759746.4869757</v>
      </c>
      <c r="K47">
        <v>8859500.1371360514</v>
      </c>
    </row>
    <row r="48" spans="8:11" x14ac:dyDescent="0.25">
      <c r="H48" s="1">
        <v>46356</v>
      </c>
      <c r="J48">
        <v>11931081.091506302</v>
      </c>
      <c r="K48">
        <v>13634244.679855797</v>
      </c>
    </row>
    <row r="49" spans="8:11" x14ac:dyDescent="0.25">
      <c r="H49" s="1">
        <v>46387</v>
      </c>
      <c r="J49">
        <v>12108126.84952122</v>
      </c>
      <c r="K49">
        <v>10470777.336082123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86138-F760-47D5-A6D7-7A8097788D99}">
  <dimension ref="A1:I97"/>
  <sheetViews>
    <sheetView tabSelected="1" workbookViewId="0">
      <selection activeCell="K26" sqref="K26"/>
    </sheetView>
  </sheetViews>
  <sheetFormatPr baseColWidth="10" defaultRowHeight="15" x14ac:dyDescent="0.25"/>
  <cols>
    <col min="2" max="2" width="12.85546875" customWidth="1"/>
  </cols>
  <sheetData>
    <row r="1" spans="1:9" x14ac:dyDescent="0.25">
      <c r="A1" t="s">
        <v>3</v>
      </c>
      <c r="B1" t="s">
        <v>0</v>
      </c>
      <c r="C1" t="s">
        <v>1</v>
      </c>
      <c r="E1" t="str" cm="1">
        <f t="array" ref="E1:E4">_xlfn.UNIQUE(VentasPorTienda[Region])</f>
        <v>Centre</v>
      </c>
      <c r="F1" t="s">
        <v>3</v>
      </c>
      <c r="G1" t="s">
        <v>4</v>
      </c>
      <c r="I1" t="str">
        <f>"Venta de Región " &amp; G1</f>
        <v>Venta de Región Centre</v>
      </c>
    </row>
    <row r="2" spans="1:9" x14ac:dyDescent="0.25">
      <c r="A2" t="s">
        <v>4</v>
      </c>
      <c r="B2" s="1">
        <v>44957</v>
      </c>
      <c r="C2">
        <v>1153620.9299999983</v>
      </c>
      <c r="E2" t="str">
        <v>East</v>
      </c>
    </row>
    <row r="3" spans="1:9" x14ac:dyDescent="0.25">
      <c r="A3" t="s">
        <v>4</v>
      </c>
      <c r="B3" s="1">
        <v>44985</v>
      </c>
      <c r="C3">
        <v>717301.75999999954</v>
      </c>
      <c r="E3" t="str">
        <v>South</v>
      </c>
      <c r="F3" t="s">
        <v>8</v>
      </c>
      <c r="G3" t="s">
        <v>2</v>
      </c>
      <c r="H3" t="s">
        <v>13</v>
      </c>
    </row>
    <row r="4" spans="1:9" x14ac:dyDescent="0.25">
      <c r="A4" t="s">
        <v>4</v>
      </c>
      <c r="B4" s="1">
        <v>45016</v>
      </c>
      <c r="C4">
        <v>982558.72999999986</v>
      </c>
      <c r="E4" t="str">
        <v>West</v>
      </c>
      <c r="F4" s="1" cm="1">
        <f t="array" ref="F4:G27">_xlfn.CHOOSECOLS(_xlfn._xlws.FILTER(VentasPorTienda[],VentasPorTienda[Region]=G1,"No hay datos disponibles"),2,3)</f>
        <v>44957</v>
      </c>
      <c r="G4">
        <v>1153620.9299999983</v>
      </c>
    </row>
    <row r="5" spans="1:9" x14ac:dyDescent="0.25">
      <c r="A5" t="s">
        <v>4</v>
      </c>
      <c r="B5" s="1">
        <v>45046</v>
      </c>
      <c r="C5">
        <v>1109985.6700000009</v>
      </c>
      <c r="F5" s="1">
        <v>44985</v>
      </c>
      <c r="G5">
        <v>717301.75999999954</v>
      </c>
    </row>
    <row r="6" spans="1:9" x14ac:dyDescent="0.25">
      <c r="A6" t="s">
        <v>4</v>
      </c>
      <c r="B6" s="1">
        <v>45077</v>
      </c>
      <c r="C6">
        <v>1209993.96</v>
      </c>
      <c r="F6" s="1">
        <v>45016</v>
      </c>
      <c r="G6">
        <v>982558.72999999986</v>
      </c>
    </row>
    <row r="7" spans="1:9" x14ac:dyDescent="0.25">
      <c r="A7" t="s">
        <v>4</v>
      </c>
      <c r="B7" s="1">
        <v>45107</v>
      </c>
      <c r="C7">
        <v>1116002.9300000006</v>
      </c>
      <c r="F7" s="1">
        <v>45046</v>
      </c>
      <c r="G7">
        <v>1109985.6700000009</v>
      </c>
    </row>
    <row r="8" spans="1:9" x14ac:dyDescent="0.25">
      <c r="A8" t="s">
        <v>4</v>
      </c>
      <c r="B8" s="1">
        <v>45138</v>
      </c>
      <c r="C8">
        <v>1196097.5799999977</v>
      </c>
      <c r="F8" s="1">
        <v>45077</v>
      </c>
      <c r="G8">
        <v>1209993.96</v>
      </c>
    </row>
    <row r="9" spans="1:9" x14ac:dyDescent="0.25">
      <c r="A9" t="s">
        <v>4</v>
      </c>
      <c r="B9" s="1">
        <v>45169</v>
      </c>
      <c r="C9">
        <v>1126448.9599999986</v>
      </c>
      <c r="F9" s="1">
        <v>45107</v>
      </c>
      <c r="G9">
        <v>1116002.9300000006</v>
      </c>
    </row>
    <row r="10" spans="1:9" x14ac:dyDescent="0.25">
      <c r="A10" t="s">
        <v>4</v>
      </c>
      <c r="B10" s="1">
        <v>45199</v>
      </c>
      <c r="C10">
        <v>1139304.9500000004</v>
      </c>
      <c r="F10" s="1">
        <v>45138</v>
      </c>
      <c r="G10">
        <v>1196097.5799999977</v>
      </c>
    </row>
    <row r="11" spans="1:9" x14ac:dyDescent="0.25">
      <c r="A11" t="s">
        <v>4</v>
      </c>
      <c r="B11" s="1">
        <v>45230</v>
      </c>
      <c r="C11">
        <v>2264490.3699999927</v>
      </c>
      <c r="F11" s="1">
        <v>45169</v>
      </c>
      <c r="G11">
        <v>1126448.9599999986</v>
      </c>
    </row>
    <row r="12" spans="1:9" x14ac:dyDescent="0.25">
      <c r="A12" t="s">
        <v>4</v>
      </c>
      <c r="B12" s="1">
        <v>45260</v>
      </c>
      <c r="C12">
        <v>3316020.8100000066</v>
      </c>
      <c r="F12" s="1">
        <v>45199</v>
      </c>
      <c r="G12">
        <v>1139304.9500000004</v>
      </c>
    </row>
    <row r="13" spans="1:9" x14ac:dyDescent="0.25">
      <c r="A13" t="s">
        <v>4</v>
      </c>
      <c r="B13" s="1">
        <v>45291</v>
      </c>
      <c r="C13">
        <v>2662695.570000005</v>
      </c>
      <c r="F13" s="1">
        <v>45230</v>
      </c>
      <c r="G13">
        <v>2264490.3699999927</v>
      </c>
    </row>
    <row r="14" spans="1:9" x14ac:dyDescent="0.25">
      <c r="A14" t="s">
        <v>4</v>
      </c>
      <c r="B14" s="1">
        <v>45322</v>
      </c>
      <c r="C14">
        <v>1092364.3200000003</v>
      </c>
      <c r="F14" s="1">
        <v>45260</v>
      </c>
      <c r="G14">
        <v>3316020.8100000066</v>
      </c>
    </row>
    <row r="15" spans="1:9" x14ac:dyDescent="0.25">
      <c r="A15" t="s">
        <v>4</v>
      </c>
      <c r="B15" s="1">
        <v>45351</v>
      </c>
      <c r="C15">
        <v>764580.4299999997</v>
      </c>
      <c r="F15" s="1">
        <v>45291</v>
      </c>
      <c r="G15">
        <v>2662695.570000005</v>
      </c>
    </row>
    <row r="16" spans="1:9" x14ac:dyDescent="0.25">
      <c r="A16" t="s">
        <v>4</v>
      </c>
      <c r="B16" s="1">
        <v>45382</v>
      </c>
      <c r="C16">
        <v>1056095.040000001</v>
      </c>
      <c r="F16" s="1">
        <v>45322</v>
      </c>
      <c r="G16">
        <v>1092364.3200000003</v>
      </c>
    </row>
    <row r="17" spans="1:8" x14ac:dyDescent="0.25">
      <c r="A17" t="s">
        <v>4</v>
      </c>
      <c r="B17" s="1">
        <v>45412</v>
      </c>
      <c r="C17">
        <v>1070392.54</v>
      </c>
      <c r="F17" s="1">
        <v>45351</v>
      </c>
      <c r="G17">
        <v>764580.4299999997</v>
      </c>
    </row>
    <row r="18" spans="1:8" x14ac:dyDescent="0.25">
      <c r="A18" t="s">
        <v>4</v>
      </c>
      <c r="B18" s="1">
        <v>45443</v>
      </c>
      <c r="C18">
        <v>1212266.8700000006</v>
      </c>
      <c r="F18" s="1">
        <v>45382</v>
      </c>
      <c r="G18">
        <v>1056095.040000001</v>
      </c>
    </row>
    <row r="19" spans="1:8" x14ac:dyDescent="0.25">
      <c r="A19" t="s">
        <v>4</v>
      </c>
      <c r="B19" s="1">
        <v>45473</v>
      </c>
      <c r="C19">
        <v>1223419.7199999981</v>
      </c>
      <c r="F19" s="1">
        <v>45412</v>
      </c>
      <c r="G19">
        <v>1070392.54</v>
      </c>
    </row>
    <row r="20" spans="1:8" x14ac:dyDescent="0.25">
      <c r="A20" t="s">
        <v>4</v>
      </c>
      <c r="B20" s="1">
        <v>45504</v>
      </c>
      <c r="C20">
        <v>1119772.7500000007</v>
      </c>
      <c r="F20" s="1">
        <v>45443</v>
      </c>
      <c r="G20">
        <v>1212266.8700000006</v>
      </c>
    </row>
    <row r="21" spans="1:8" x14ac:dyDescent="0.25">
      <c r="A21" t="s">
        <v>4</v>
      </c>
      <c r="B21" s="1">
        <v>45535</v>
      </c>
      <c r="C21">
        <v>1082424.9600000011</v>
      </c>
      <c r="F21" s="1">
        <v>45473</v>
      </c>
      <c r="G21">
        <v>1223419.7199999981</v>
      </c>
    </row>
    <row r="22" spans="1:8" x14ac:dyDescent="0.25">
      <c r="A22" t="s">
        <v>4</v>
      </c>
      <c r="B22" s="1">
        <v>45565</v>
      </c>
      <c r="C22">
        <v>1226049.3000000017</v>
      </c>
      <c r="F22" s="1">
        <v>45504</v>
      </c>
      <c r="G22">
        <v>1119772.7500000007</v>
      </c>
    </row>
    <row r="23" spans="1:8" x14ac:dyDescent="0.25">
      <c r="A23" t="s">
        <v>4</v>
      </c>
      <c r="B23" s="1">
        <v>45596</v>
      </c>
      <c r="C23">
        <v>2104241.2699999996</v>
      </c>
      <c r="F23" s="1">
        <v>45535</v>
      </c>
      <c r="G23">
        <v>1082424.9600000011</v>
      </c>
    </row>
    <row r="24" spans="1:8" x14ac:dyDescent="0.25">
      <c r="A24" t="s">
        <v>4</v>
      </c>
      <c r="B24" s="1">
        <v>45626</v>
      </c>
      <c r="C24">
        <v>3526314.4300000072</v>
      </c>
      <c r="F24" s="1">
        <v>45565</v>
      </c>
      <c r="G24">
        <v>1226049.3000000017</v>
      </c>
    </row>
    <row r="25" spans="1:8" x14ac:dyDescent="0.25">
      <c r="A25" t="s">
        <v>4</v>
      </c>
      <c r="B25" s="1">
        <v>45657</v>
      </c>
      <c r="C25">
        <v>2609450.4900000016</v>
      </c>
      <c r="F25" s="1">
        <v>45596</v>
      </c>
      <c r="G25">
        <v>2104241.2699999996</v>
      </c>
    </row>
    <row r="26" spans="1:8" x14ac:dyDescent="0.25">
      <c r="A26" t="s">
        <v>5</v>
      </c>
      <c r="B26" s="1">
        <v>44957</v>
      </c>
      <c r="C26">
        <v>1413260.8499999994</v>
      </c>
      <c r="F26" s="1">
        <v>45626</v>
      </c>
      <c r="G26">
        <v>3526314.4300000072</v>
      </c>
    </row>
    <row r="27" spans="1:8" x14ac:dyDescent="0.25">
      <c r="A27" t="s">
        <v>5</v>
      </c>
      <c r="B27" s="1">
        <v>44985</v>
      </c>
      <c r="C27">
        <v>885043.60000000021</v>
      </c>
      <c r="F27" s="1">
        <v>45657</v>
      </c>
      <c r="G27">
        <v>2609450.4900000016</v>
      </c>
    </row>
    <row r="28" spans="1:8" x14ac:dyDescent="0.25">
      <c r="A28" t="s">
        <v>5</v>
      </c>
      <c r="B28" s="1">
        <v>45016</v>
      </c>
      <c r="C28">
        <v>1210963.4000000013</v>
      </c>
      <c r="F28" s="1">
        <f>EOMONTH(F27,1)</f>
        <v>45688</v>
      </c>
      <c r="G28">
        <f>H28</f>
        <v>1038975.4202766467</v>
      </c>
      <c r="H28" cm="1">
        <f t="array" ref="H28:H51">_xlfn.FORECAST.ETS(F28:F51,G4:G27,F4:F27,12,1,1)</f>
        <v>1038975.4202766467</v>
      </c>
    </row>
    <row r="29" spans="1:8" x14ac:dyDescent="0.25">
      <c r="A29" t="s">
        <v>5</v>
      </c>
      <c r="B29" s="1">
        <v>45046</v>
      </c>
      <c r="C29">
        <v>1417660.5199999986</v>
      </c>
      <c r="F29" s="1">
        <f t="shared" ref="F29:F51" si="0">EOMONTH(F28,1)</f>
        <v>45716</v>
      </c>
      <c r="H29">
        <v>742627.17503948673</v>
      </c>
    </row>
    <row r="30" spans="1:8" x14ac:dyDescent="0.25">
      <c r="A30" t="s">
        <v>5</v>
      </c>
      <c r="B30" s="1">
        <v>45077</v>
      </c>
      <c r="C30">
        <v>1558735.1800000018</v>
      </c>
      <c r="F30" s="1">
        <f t="shared" si="0"/>
        <v>45747</v>
      </c>
      <c r="H30">
        <v>1002169.9801590824</v>
      </c>
    </row>
    <row r="31" spans="1:8" x14ac:dyDescent="0.25">
      <c r="A31" t="s">
        <v>5</v>
      </c>
      <c r="B31" s="1">
        <v>45107</v>
      </c>
      <c r="C31">
        <v>1537027.4900000033</v>
      </c>
      <c r="F31" s="1">
        <f t="shared" si="0"/>
        <v>45777</v>
      </c>
      <c r="H31">
        <v>1015929.3834327471</v>
      </c>
    </row>
    <row r="32" spans="1:8" x14ac:dyDescent="0.25">
      <c r="A32" t="s">
        <v>5</v>
      </c>
      <c r="B32" s="1">
        <v>45138</v>
      </c>
      <c r="C32">
        <v>1373711.8500000017</v>
      </c>
      <c r="F32" s="1">
        <f t="shared" si="0"/>
        <v>45808</v>
      </c>
      <c r="H32">
        <v>1158011.7320494424</v>
      </c>
    </row>
    <row r="33" spans="1:8" x14ac:dyDescent="0.25">
      <c r="A33" t="s">
        <v>5</v>
      </c>
      <c r="B33" s="1">
        <v>45169</v>
      </c>
      <c r="C33">
        <v>1368877.89</v>
      </c>
      <c r="F33" s="1">
        <f t="shared" si="0"/>
        <v>45838</v>
      </c>
      <c r="H33">
        <v>1120370.6721594045</v>
      </c>
    </row>
    <row r="34" spans="1:8" x14ac:dyDescent="0.25">
      <c r="A34" t="s">
        <v>5</v>
      </c>
      <c r="B34" s="1">
        <v>45199</v>
      </c>
      <c r="C34">
        <v>1510228.850000002</v>
      </c>
      <c r="F34" s="1">
        <f t="shared" si="0"/>
        <v>45869</v>
      </c>
      <c r="H34">
        <v>1105701.6604454033</v>
      </c>
    </row>
    <row r="35" spans="1:8" x14ac:dyDescent="0.25">
      <c r="A35" t="s">
        <v>5</v>
      </c>
      <c r="B35" s="1">
        <v>45230</v>
      </c>
      <c r="C35">
        <v>2802358.0099999951</v>
      </c>
      <c r="F35" s="1">
        <f t="shared" si="0"/>
        <v>45900</v>
      </c>
      <c r="H35">
        <v>1052821.0240315758</v>
      </c>
    </row>
    <row r="36" spans="1:8" x14ac:dyDescent="0.25">
      <c r="A36" t="s">
        <v>5</v>
      </c>
      <c r="B36" s="1">
        <v>45260</v>
      </c>
      <c r="C36">
        <v>4277691.8799999878</v>
      </c>
      <c r="F36" s="1">
        <f t="shared" si="0"/>
        <v>45930</v>
      </c>
      <c r="H36">
        <v>1129662.9932167353</v>
      </c>
    </row>
    <row r="37" spans="1:8" x14ac:dyDescent="0.25">
      <c r="A37" t="s">
        <v>5</v>
      </c>
      <c r="B37" s="1">
        <v>45291</v>
      </c>
      <c r="C37">
        <v>3110385.0500000017</v>
      </c>
      <c r="F37" s="1">
        <f t="shared" si="0"/>
        <v>45961</v>
      </c>
      <c r="H37">
        <v>2132723.7629137058</v>
      </c>
    </row>
    <row r="38" spans="1:8" x14ac:dyDescent="0.25">
      <c r="A38" t="s">
        <v>5</v>
      </c>
      <c r="B38" s="1">
        <v>45322</v>
      </c>
      <c r="C38">
        <v>1380532.6799999985</v>
      </c>
      <c r="F38" s="1">
        <f t="shared" si="0"/>
        <v>45991</v>
      </c>
      <c r="H38">
        <v>3329319.7660380863</v>
      </c>
    </row>
    <row r="39" spans="1:8" x14ac:dyDescent="0.25">
      <c r="A39" t="s">
        <v>5</v>
      </c>
      <c r="B39" s="1">
        <v>45351</v>
      </c>
      <c r="C39">
        <v>884975.33000000112</v>
      </c>
      <c r="F39" s="1">
        <f t="shared" si="0"/>
        <v>46022</v>
      </c>
      <c r="H39">
        <v>2614677.6015273989</v>
      </c>
    </row>
    <row r="40" spans="1:8" x14ac:dyDescent="0.25">
      <c r="A40" t="s">
        <v>5</v>
      </c>
      <c r="B40" s="1">
        <v>45382</v>
      </c>
      <c r="C40">
        <v>1301479.9299999985</v>
      </c>
      <c r="F40" s="1">
        <f t="shared" si="0"/>
        <v>46053</v>
      </c>
      <c r="H40">
        <v>1044202.531804044</v>
      </c>
    </row>
    <row r="41" spans="1:8" x14ac:dyDescent="0.25">
      <c r="A41" t="s">
        <v>5</v>
      </c>
      <c r="B41" s="1">
        <v>45412</v>
      </c>
      <c r="C41">
        <v>1372141.8299999977</v>
      </c>
      <c r="F41" s="1">
        <f t="shared" si="0"/>
        <v>46081</v>
      </c>
      <c r="H41">
        <v>747854.28656688437</v>
      </c>
    </row>
    <row r="42" spans="1:8" x14ac:dyDescent="0.25">
      <c r="A42" t="s">
        <v>5</v>
      </c>
      <c r="B42" s="1">
        <v>45443</v>
      </c>
      <c r="C42">
        <v>1513096.9099999983</v>
      </c>
      <c r="F42" s="1">
        <f t="shared" si="0"/>
        <v>46112</v>
      </c>
      <c r="H42">
        <v>1007397.0916864797</v>
      </c>
    </row>
    <row r="43" spans="1:8" x14ac:dyDescent="0.25">
      <c r="A43" t="s">
        <v>5</v>
      </c>
      <c r="B43" s="1">
        <v>45473</v>
      </c>
      <c r="C43">
        <v>1506731.5699999991</v>
      </c>
      <c r="F43" s="1">
        <f t="shared" si="0"/>
        <v>46142</v>
      </c>
      <c r="H43">
        <v>1021156.4949601444</v>
      </c>
    </row>
    <row r="44" spans="1:8" x14ac:dyDescent="0.25">
      <c r="A44" t="s">
        <v>5</v>
      </c>
      <c r="B44" s="1">
        <v>45504</v>
      </c>
      <c r="C44">
        <v>1385017.7299999977</v>
      </c>
      <c r="F44" s="1">
        <f t="shared" si="0"/>
        <v>46173</v>
      </c>
      <c r="H44">
        <v>1163238.8435768399</v>
      </c>
    </row>
    <row r="45" spans="1:8" x14ac:dyDescent="0.25">
      <c r="A45" t="s">
        <v>5</v>
      </c>
      <c r="B45" s="1">
        <v>45535</v>
      </c>
      <c r="C45">
        <v>1421493.9799999977</v>
      </c>
      <c r="F45" s="1">
        <f t="shared" si="0"/>
        <v>46203</v>
      </c>
      <c r="H45">
        <v>1125597.7836868018</v>
      </c>
    </row>
    <row r="46" spans="1:8" x14ac:dyDescent="0.25">
      <c r="A46" t="s">
        <v>5</v>
      </c>
      <c r="B46" s="1">
        <v>45565</v>
      </c>
      <c r="C46">
        <v>1488001.4499999995</v>
      </c>
      <c r="F46" s="1">
        <f t="shared" si="0"/>
        <v>46234</v>
      </c>
      <c r="H46">
        <v>1110928.7719728006</v>
      </c>
    </row>
    <row r="47" spans="1:8" x14ac:dyDescent="0.25">
      <c r="A47" t="s">
        <v>5</v>
      </c>
      <c r="B47" s="1">
        <v>45596</v>
      </c>
      <c r="C47">
        <v>2781540.0799999996</v>
      </c>
      <c r="F47" s="1">
        <f t="shared" si="0"/>
        <v>46265</v>
      </c>
      <c r="H47">
        <v>1058048.1355589733</v>
      </c>
    </row>
    <row r="48" spans="1:8" x14ac:dyDescent="0.25">
      <c r="A48" t="s">
        <v>5</v>
      </c>
      <c r="B48" s="1">
        <v>45626</v>
      </c>
      <c r="C48">
        <v>4387725.3799999915</v>
      </c>
      <c r="F48" s="1">
        <f t="shared" si="0"/>
        <v>46295</v>
      </c>
      <c r="H48">
        <v>1134890.1047441326</v>
      </c>
    </row>
    <row r="49" spans="1:8" x14ac:dyDescent="0.25">
      <c r="A49" t="s">
        <v>5</v>
      </c>
      <c r="B49" s="1">
        <v>45657</v>
      </c>
      <c r="C49">
        <v>3091366.7799999923</v>
      </c>
      <c r="F49" s="1">
        <f t="shared" si="0"/>
        <v>46326</v>
      </c>
      <c r="H49">
        <v>2137950.8744411031</v>
      </c>
    </row>
    <row r="50" spans="1:8" x14ac:dyDescent="0.25">
      <c r="A50" t="s">
        <v>6</v>
      </c>
      <c r="B50" s="1">
        <v>44957</v>
      </c>
      <c r="C50">
        <v>763812.89999999932</v>
      </c>
      <c r="F50" s="1">
        <f t="shared" si="0"/>
        <v>46356</v>
      </c>
      <c r="H50">
        <v>3334546.8775654836</v>
      </c>
    </row>
    <row r="51" spans="1:8" x14ac:dyDescent="0.25">
      <c r="A51" t="s">
        <v>6</v>
      </c>
      <c r="B51" s="1">
        <v>44985</v>
      </c>
      <c r="C51">
        <v>455074.36999999988</v>
      </c>
      <c r="F51" s="1">
        <f t="shared" si="0"/>
        <v>46387</v>
      </c>
      <c r="H51">
        <v>2619904.7130547962</v>
      </c>
    </row>
    <row r="52" spans="1:8" x14ac:dyDescent="0.25">
      <c r="A52" t="s">
        <v>6</v>
      </c>
      <c r="B52" s="1">
        <v>45016</v>
      </c>
      <c r="C52">
        <v>689400.12000000011</v>
      </c>
    </row>
    <row r="53" spans="1:8" x14ac:dyDescent="0.25">
      <c r="A53" t="s">
        <v>6</v>
      </c>
      <c r="B53" s="1">
        <v>45046</v>
      </c>
      <c r="C53">
        <v>735588.82000000007</v>
      </c>
    </row>
    <row r="54" spans="1:8" x14ac:dyDescent="0.25">
      <c r="A54" t="s">
        <v>6</v>
      </c>
      <c r="B54" s="1">
        <v>45077</v>
      </c>
      <c r="C54">
        <v>844739.14000000048</v>
      </c>
    </row>
    <row r="55" spans="1:8" x14ac:dyDescent="0.25">
      <c r="A55" t="s">
        <v>6</v>
      </c>
      <c r="B55" s="1">
        <v>45107</v>
      </c>
      <c r="C55">
        <v>832348.59000000055</v>
      </c>
    </row>
    <row r="56" spans="1:8" x14ac:dyDescent="0.25">
      <c r="A56" t="s">
        <v>6</v>
      </c>
      <c r="B56" s="1">
        <v>45138</v>
      </c>
      <c r="C56">
        <v>812661.55999999889</v>
      </c>
    </row>
    <row r="57" spans="1:8" x14ac:dyDescent="0.25">
      <c r="A57" t="s">
        <v>6</v>
      </c>
      <c r="B57" s="1">
        <v>45169</v>
      </c>
      <c r="C57">
        <v>783911.4999999993</v>
      </c>
    </row>
    <row r="58" spans="1:8" x14ac:dyDescent="0.25">
      <c r="A58" t="s">
        <v>6</v>
      </c>
      <c r="B58" s="1">
        <v>45199</v>
      </c>
      <c r="C58">
        <v>784847.0499999997</v>
      </c>
    </row>
    <row r="59" spans="1:8" x14ac:dyDescent="0.25">
      <c r="A59" t="s">
        <v>6</v>
      </c>
      <c r="B59" s="1">
        <v>45230</v>
      </c>
      <c r="C59">
        <v>1475541.7200000035</v>
      </c>
    </row>
    <row r="60" spans="1:8" x14ac:dyDescent="0.25">
      <c r="A60" t="s">
        <v>6</v>
      </c>
      <c r="B60" s="1">
        <v>45260</v>
      </c>
      <c r="C60">
        <v>2326926.5100000016</v>
      </c>
    </row>
    <row r="61" spans="1:8" x14ac:dyDescent="0.25">
      <c r="A61" t="s">
        <v>6</v>
      </c>
      <c r="B61" s="1">
        <v>45291</v>
      </c>
      <c r="C61">
        <v>1846663.2199999988</v>
      </c>
    </row>
    <row r="62" spans="1:8" x14ac:dyDescent="0.25">
      <c r="A62" t="s">
        <v>6</v>
      </c>
      <c r="B62" s="1">
        <v>45322</v>
      </c>
      <c r="C62">
        <v>794760.24999999988</v>
      </c>
    </row>
    <row r="63" spans="1:8" x14ac:dyDescent="0.25">
      <c r="A63" t="s">
        <v>6</v>
      </c>
      <c r="B63" s="1">
        <v>45351</v>
      </c>
      <c r="C63">
        <v>518632.60000000044</v>
      </c>
    </row>
    <row r="64" spans="1:8" x14ac:dyDescent="0.25">
      <c r="A64" t="s">
        <v>6</v>
      </c>
      <c r="B64" s="1">
        <v>45382</v>
      </c>
      <c r="C64">
        <v>680460.25999999954</v>
      </c>
    </row>
    <row r="65" spans="1:3" x14ac:dyDescent="0.25">
      <c r="A65" t="s">
        <v>6</v>
      </c>
      <c r="B65" s="1">
        <v>45412</v>
      </c>
      <c r="C65">
        <v>772814.67000000062</v>
      </c>
    </row>
    <row r="66" spans="1:3" x14ac:dyDescent="0.25">
      <c r="A66" t="s">
        <v>6</v>
      </c>
      <c r="B66" s="1">
        <v>45443</v>
      </c>
      <c r="C66">
        <v>882587.820000001</v>
      </c>
    </row>
    <row r="67" spans="1:3" x14ac:dyDescent="0.25">
      <c r="A67" t="s">
        <v>6</v>
      </c>
      <c r="B67" s="1">
        <v>45473</v>
      </c>
      <c r="C67">
        <v>830223.64000000071</v>
      </c>
    </row>
    <row r="68" spans="1:3" x14ac:dyDescent="0.25">
      <c r="A68" t="s">
        <v>6</v>
      </c>
      <c r="B68" s="1">
        <v>45504</v>
      </c>
      <c r="C68">
        <v>719598.54</v>
      </c>
    </row>
    <row r="69" spans="1:3" x14ac:dyDescent="0.25">
      <c r="A69" t="s">
        <v>6</v>
      </c>
      <c r="B69" s="1">
        <v>45535</v>
      </c>
      <c r="C69">
        <v>794505.45000000065</v>
      </c>
    </row>
    <row r="70" spans="1:3" x14ac:dyDescent="0.25">
      <c r="A70" t="s">
        <v>6</v>
      </c>
      <c r="B70" s="1">
        <v>45565</v>
      </c>
      <c r="C70">
        <v>881404.75999999978</v>
      </c>
    </row>
    <row r="71" spans="1:3" x14ac:dyDescent="0.25">
      <c r="A71" t="s">
        <v>6</v>
      </c>
      <c r="B71" s="1">
        <v>45596</v>
      </c>
      <c r="C71">
        <v>1573703.2299999986</v>
      </c>
    </row>
    <row r="72" spans="1:3" x14ac:dyDescent="0.25">
      <c r="A72" t="s">
        <v>6</v>
      </c>
      <c r="B72" s="1">
        <v>45626</v>
      </c>
      <c r="C72">
        <v>2448967.4100000057</v>
      </c>
    </row>
    <row r="73" spans="1:3" x14ac:dyDescent="0.25">
      <c r="A73" t="s">
        <v>6</v>
      </c>
      <c r="B73" s="1">
        <v>45657</v>
      </c>
      <c r="C73">
        <v>1853786.5099999979</v>
      </c>
    </row>
    <row r="74" spans="1:3" x14ac:dyDescent="0.25">
      <c r="A74" t="s">
        <v>7</v>
      </c>
      <c r="B74" s="1">
        <v>44957</v>
      </c>
      <c r="C74">
        <v>1049199.9600000007</v>
      </c>
    </row>
    <row r="75" spans="1:3" x14ac:dyDescent="0.25">
      <c r="A75" t="s">
        <v>7</v>
      </c>
      <c r="B75" s="1">
        <v>44985</v>
      </c>
      <c r="C75">
        <v>712057.48000000056</v>
      </c>
    </row>
    <row r="76" spans="1:3" x14ac:dyDescent="0.25">
      <c r="A76" t="s">
        <v>7</v>
      </c>
      <c r="B76" s="1">
        <v>45016</v>
      </c>
      <c r="C76">
        <v>1002270.3399999995</v>
      </c>
    </row>
    <row r="77" spans="1:3" x14ac:dyDescent="0.25">
      <c r="A77" t="s">
        <v>7</v>
      </c>
      <c r="B77" s="1">
        <v>45046</v>
      </c>
      <c r="C77">
        <v>1084239.2600000014</v>
      </c>
    </row>
    <row r="78" spans="1:3" x14ac:dyDescent="0.25">
      <c r="A78" t="s">
        <v>7</v>
      </c>
      <c r="B78" s="1">
        <v>45077</v>
      </c>
      <c r="C78">
        <v>1234772.340000001</v>
      </c>
    </row>
    <row r="79" spans="1:3" x14ac:dyDescent="0.25">
      <c r="A79" t="s">
        <v>7</v>
      </c>
      <c r="B79" s="1">
        <v>45107</v>
      </c>
      <c r="C79">
        <v>1202919.8399999987</v>
      </c>
    </row>
    <row r="80" spans="1:3" x14ac:dyDescent="0.25">
      <c r="A80" t="s">
        <v>7</v>
      </c>
      <c r="B80" s="1">
        <v>45138</v>
      </c>
      <c r="C80">
        <v>1133134.3799999987</v>
      </c>
    </row>
    <row r="81" spans="1:3" x14ac:dyDescent="0.25">
      <c r="A81" t="s">
        <v>7</v>
      </c>
      <c r="B81" s="1">
        <v>45169</v>
      </c>
      <c r="C81">
        <v>1100573.2799999991</v>
      </c>
    </row>
    <row r="82" spans="1:3" x14ac:dyDescent="0.25">
      <c r="A82" t="s">
        <v>7</v>
      </c>
      <c r="B82" s="1">
        <v>45199</v>
      </c>
      <c r="C82">
        <v>1188214.83</v>
      </c>
    </row>
    <row r="83" spans="1:3" x14ac:dyDescent="0.25">
      <c r="A83" t="s">
        <v>7</v>
      </c>
      <c r="B83" s="1">
        <v>45230</v>
      </c>
      <c r="C83">
        <v>2135004.8800000018</v>
      </c>
    </row>
    <row r="84" spans="1:3" x14ac:dyDescent="0.25">
      <c r="A84" t="s">
        <v>7</v>
      </c>
      <c r="B84" s="1">
        <v>45260</v>
      </c>
      <c r="C84">
        <v>3447440.6899999948</v>
      </c>
    </row>
    <row r="85" spans="1:3" x14ac:dyDescent="0.25">
      <c r="A85" t="s">
        <v>7</v>
      </c>
      <c r="B85" s="1">
        <v>45291</v>
      </c>
      <c r="C85">
        <v>2653563.0900000092</v>
      </c>
    </row>
    <row r="86" spans="1:3" x14ac:dyDescent="0.25">
      <c r="A86" t="s">
        <v>7</v>
      </c>
      <c r="B86" s="1">
        <v>45322</v>
      </c>
      <c r="C86">
        <v>1099695.5899999992</v>
      </c>
    </row>
    <row r="87" spans="1:3" x14ac:dyDescent="0.25">
      <c r="A87" t="s">
        <v>7</v>
      </c>
      <c r="B87" s="1">
        <v>45351</v>
      </c>
      <c r="C87">
        <v>762753.09000000078</v>
      </c>
    </row>
    <row r="88" spans="1:3" x14ac:dyDescent="0.25">
      <c r="A88" t="s">
        <v>7</v>
      </c>
      <c r="B88" s="1">
        <v>45382</v>
      </c>
      <c r="C88">
        <v>1050553.5799999996</v>
      </c>
    </row>
    <row r="89" spans="1:3" x14ac:dyDescent="0.25">
      <c r="A89" t="s">
        <v>7</v>
      </c>
      <c r="B89" s="1">
        <v>45412</v>
      </c>
      <c r="C89">
        <v>1048130.1999999994</v>
      </c>
    </row>
    <row r="90" spans="1:3" x14ac:dyDescent="0.25">
      <c r="A90" t="s">
        <v>7</v>
      </c>
      <c r="B90" s="1">
        <v>45443</v>
      </c>
      <c r="C90">
        <v>1275351.8299999994</v>
      </c>
    </row>
    <row r="91" spans="1:3" x14ac:dyDescent="0.25">
      <c r="A91" t="s">
        <v>7</v>
      </c>
      <c r="B91" s="1">
        <v>45473</v>
      </c>
      <c r="C91">
        <v>1161309.600000001</v>
      </c>
    </row>
    <row r="92" spans="1:3" x14ac:dyDescent="0.25">
      <c r="A92" t="s">
        <v>7</v>
      </c>
      <c r="B92" s="1">
        <v>45504</v>
      </c>
      <c r="C92">
        <v>1143263.52</v>
      </c>
    </row>
    <row r="93" spans="1:3" x14ac:dyDescent="0.25">
      <c r="A93" t="s">
        <v>7</v>
      </c>
      <c r="B93" s="1">
        <v>45535</v>
      </c>
      <c r="C93">
        <v>1130903.9600000007</v>
      </c>
    </row>
    <row r="94" spans="1:3" x14ac:dyDescent="0.25">
      <c r="A94" t="s">
        <v>7</v>
      </c>
      <c r="B94" s="1">
        <v>45565</v>
      </c>
      <c r="C94">
        <v>1250999.0000000044</v>
      </c>
    </row>
    <row r="95" spans="1:3" x14ac:dyDescent="0.25">
      <c r="A95" t="s">
        <v>7</v>
      </c>
      <c r="B95" s="1">
        <v>45596</v>
      </c>
      <c r="C95">
        <v>2260057.4099999988</v>
      </c>
    </row>
    <row r="96" spans="1:3" x14ac:dyDescent="0.25">
      <c r="A96" t="s">
        <v>7</v>
      </c>
      <c r="B96" s="1">
        <v>45626</v>
      </c>
      <c r="C96">
        <v>3536664.6899999948</v>
      </c>
    </row>
    <row r="97" spans="1:3" x14ac:dyDescent="0.25">
      <c r="A97" t="s">
        <v>7</v>
      </c>
      <c r="B97" s="1">
        <v>45657</v>
      </c>
      <c r="C97">
        <v>2579768.8899999964</v>
      </c>
    </row>
  </sheetData>
  <dataValidations count="1">
    <dataValidation type="list" allowBlank="1" showInputMessage="1" showErrorMessage="1" sqref="G1" xr:uid="{BAC6029D-CF52-4726-B78E-CF3142E0E81E}">
      <formula1>_xlfn.ANCHORARRAY($E$1)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Pronóstico General</vt:lpstr>
      <vt:lpstr>Pronóstico por Región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Germán Andrés Castaño Vásquez</dc:creator>
  <cp:lastModifiedBy>Germán Andrés Castaño Vásquez</cp:lastModifiedBy>
  <dcterms:created xsi:type="dcterms:W3CDTF">2026-02-04T02:36:56Z</dcterms:created>
  <dcterms:modified xsi:type="dcterms:W3CDTF">2026-02-07T03:31:03Z</dcterms:modified>
</cp:coreProperties>
</file>